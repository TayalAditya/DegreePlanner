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gajendra_mac/Desktop/Data/IIT Mandi TEACHING/General Engineering/"/>
    </mc:Choice>
  </mc:AlternateContent>
  <xr:revisionPtr revIDLastSave="0" documentId="13_ncr:1_{36E01763-7927-324C-AA33-2D7B73E74884}" xr6:coauthVersionLast="47" xr6:coauthVersionMax="47" xr10:uidLastSave="{00000000-0000-0000-0000-000000000000}"/>
  <bookViews>
    <workbookView xWindow="0" yWindow="660" windowWidth="28100" windowHeight="18460" xr2:uid="{00000000-000D-0000-FFFF-FFFF00000000}"/>
  </bookViews>
  <sheets>
    <sheet name="IC Courses" sheetId="1" r:id="rId1"/>
    <sheet name="Without Specialization" sheetId="9" r:id="rId2"/>
    <sheet name="Mechatronics" sheetId="2" r:id="rId3"/>
    <sheet name="Communication Tech" sheetId="3" r:id="rId4"/>
    <sheet name="AI &amp; Robotics" sheetId="5" r:id="rId5"/>
    <sheet name="FinTech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9" i="10" l="1"/>
  <c r="K27" i="10"/>
  <c r="K15" i="10"/>
  <c r="K3" i="10"/>
  <c r="G3" i="10"/>
  <c r="C3" i="10"/>
  <c r="P26" i="1"/>
  <c r="P14" i="1"/>
  <c r="P3" i="1"/>
  <c r="K37" i="1"/>
  <c r="K26" i="1"/>
  <c r="K14" i="1"/>
  <c r="K39" i="5"/>
  <c r="K27" i="5"/>
  <c r="K3" i="1"/>
  <c r="K39" i="3"/>
  <c r="K27" i="3"/>
  <c r="K15" i="3"/>
  <c r="K3" i="3"/>
  <c r="K3" i="5"/>
  <c r="K15" i="5"/>
  <c r="K39" i="2"/>
  <c r="K27" i="2"/>
  <c r="K15" i="2"/>
  <c r="K3" i="2"/>
  <c r="G3" i="3"/>
  <c r="G3" i="2" l="1"/>
  <c r="G3" i="5" l="1"/>
  <c r="C3" i="5"/>
  <c r="C16" i="9"/>
  <c r="G24" i="1" l="1"/>
  <c r="C3" i="3"/>
  <c r="C3" i="2"/>
  <c r="G15" i="1"/>
  <c r="G6" i="1"/>
  <c r="C16" i="1"/>
  <c r="C18" i="1" l="1"/>
  <c r="C22" i="1" s="1"/>
  <c r="C2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Gajendra Singh</author>
  </authors>
  <commentList>
    <comment ref="I17" authorId="0" shapeId="0" xr:uid="{1710EEFC-E8F9-6A4E-84A3-59E9AD1F7E2A}">
      <text>
        <r>
          <rPr>
            <b/>
            <sz val="10"/>
            <color rgb="FF000000"/>
            <rFont val="Tahoma"/>
            <family val="2"/>
          </rPr>
          <t>Gajendra Singh: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<sst xmlns="http://schemas.openxmlformats.org/spreadsheetml/2006/main" count="725" uniqueCount="262">
  <si>
    <t>Code</t>
  </si>
  <si>
    <t>Name</t>
  </si>
  <si>
    <t>Credits</t>
  </si>
  <si>
    <t>IC112</t>
  </si>
  <si>
    <t>Calculus</t>
  </si>
  <si>
    <t>IC230</t>
  </si>
  <si>
    <t xml:space="preserve">Enviromental Science </t>
  </si>
  <si>
    <t>IC113</t>
  </si>
  <si>
    <t xml:space="preserve">Complex and Vector Calculus </t>
  </si>
  <si>
    <t>IC240</t>
  </si>
  <si>
    <t>Mechanics of Rigid Bodies</t>
  </si>
  <si>
    <t>IKS</t>
  </si>
  <si>
    <t>IC140</t>
  </si>
  <si>
    <t>Graphics for design</t>
  </si>
  <si>
    <t>HSS-1</t>
  </si>
  <si>
    <t>IC152</t>
  </si>
  <si>
    <t xml:space="preserve">Computing and Data Science </t>
  </si>
  <si>
    <t>HSS-2</t>
  </si>
  <si>
    <t>IC114</t>
  </si>
  <si>
    <t>Linear Algebra</t>
  </si>
  <si>
    <t>HSS-3</t>
  </si>
  <si>
    <t>DS-313</t>
  </si>
  <si>
    <t>IC115</t>
  </si>
  <si>
    <t>ODE and integral transform</t>
  </si>
  <si>
    <t>HSS-4</t>
  </si>
  <si>
    <t>IC161</t>
  </si>
  <si>
    <t>Applied Electronics</t>
  </si>
  <si>
    <t>IC161p</t>
  </si>
  <si>
    <t>Applied Electronics Lab</t>
  </si>
  <si>
    <t>IC222p</t>
  </si>
  <si>
    <t>Physics Practicum/Practicals</t>
  </si>
  <si>
    <t>IC252</t>
  </si>
  <si>
    <t>Data Science 2</t>
  </si>
  <si>
    <t>IC102p</t>
  </si>
  <si>
    <t>Foundations of design practicum</t>
  </si>
  <si>
    <t>IC202p</t>
  </si>
  <si>
    <t xml:space="preserve">Design Practicum </t>
  </si>
  <si>
    <t>IC272</t>
  </si>
  <si>
    <t>Data Science 3</t>
  </si>
  <si>
    <t>Discipline Core</t>
  </si>
  <si>
    <t>ME100</t>
  </si>
  <si>
    <t>Reverse Engineering</t>
  </si>
  <si>
    <t>GE498P</t>
  </si>
  <si>
    <t>Major Technical Project-1</t>
  </si>
  <si>
    <t>EE-261</t>
  </si>
  <si>
    <t>Electrical System Around Us</t>
  </si>
  <si>
    <t>ME-210</t>
  </si>
  <si>
    <t>Fluid Mechanics</t>
  </si>
  <si>
    <t>GE499P</t>
  </si>
  <si>
    <t>Major Technical Project-2</t>
  </si>
  <si>
    <t>EE-231</t>
  </si>
  <si>
    <t>Measurement &amp; Instrumentation</t>
  </si>
  <si>
    <t>ME-206</t>
  </si>
  <si>
    <t>Mechanics of Solids</t>
  </si>
  <si>
    <t>ME213</t>
  </si>
  <si>
    <t>Thermodynamics</t>
  </si>
  <si>
    <t>ME-309</t>
  </si>
  <si>
    <t>Theory of Machines</t>
  </si>
  <si>
    <t xml:space="preserve">Statistical Foundation of Data science </t>
  </si>
  <si>
    <t>EE-201</t>
  </si>
  <si>
    <t>Electromechanics</t>
  </si>
  <si>
    <t>ME-452</t>
  </si>
  <si>
    <t>Robotics and Control</t>
  </si>
  <si>
    <t>Control Systems</t>
  </si>
  <si>
    <t>EE-211</t>
  </si>
  <si>
    <t>Analog Circuit Design</t>
  </si>
  <si>
    <t>Signals &amp; Systems</t>
  </si>
  <si>
    <t>EE-529</t>
  </si>
  <si>
    <t>Embedded Systems</t>
  </si>
  <si>
    <t>ME212</t>
  </si>
  <si>
    <t>Product Manufacturing Technology</t>
  </si>
  <si>
    <t>EE-326</t>
  </si>
  <si>
    <t>CO and Processor Architecture Design</t>
  </si>
  <si>
    <t>IoT Systems</t>
  </si>
  <si>
    <t>IC241</t>
  </si>
  <si>
    <t xml:space="preserve">Material Science for engineers </t>
  </si>
  <si>
    <t>CS-305</t>
  </si>
  <si>
    <t xml:space="preserve">Artificial Intelligence </t>
  </si>
  <si>
    <t>EE-314</t>
  </si>
  <si>
    <t>Digital Signal Processing</t>
  </si>
  <si>
    <t>IC253</t>
  </si>
  <si>
    <t>Programming and Data Structures</t>
  </si>
  <si>
    <t>CS-313</t>
  </si>
  <si>
    <t>Computer Networks</t>
  </si>
  <si>
    <t>Design and Analysis of Algorithms</t>
  </si>
  <si>
    <t xml:space="preserve">DS-201 </t>
  </si>
  <si>
    <t xml:space="preserve">Data handling and Visualisation </t>
  </si>
  <si>
    <t>EE-260</t>
  </si>
  <si>
    <t>EE541</t>
  </si>
  <si>
    <t>Digital Image Processing</t>
  </si>
  <si>
    <t>EE-517</t>
  </si>
  <si>
    <t>Wireless Communications &amp; Networks</t>
  </si>
  <si>
    <t>EE-641</t>
  </si>
  <si>
    <t>Advanced Wireless Technologies</t>
  </si>
  <si>
    <t>EE-304</t>
  </si>
  <si>
    <t>Communication Theory</t>
  </si>
  <si>
    <t>Fundamentals of Intelligent Communication System-II</t>
  </si>
  <si>
    <t>EE-503</t>
  </si>
  <si>
    <t>Advanced Communication Theory</t>
  </si>
  <si>
    <t>DS404</t>
  </si>
  <si>
    <t>CS-549</t>
  </si>
  <si>
    <t>Performance Analysis of Computer Networks</t>
  </si>
  <si>
    <t>Electromagnetic Theory</t>
  </si>
  <si>
    <t>EE-518</t>
  </si>
  <si>
    <t>Information Theory</t>
  </si>
  <si>
    <t>Fibre Optics</t>
  </si>
  <si>
    <t>Digial Audio Processing</t>
  </si>
  <si>
    <t>Satellite Communication</t>
  </si>
  <si>
    <t>EE-553</t>
  </si>
  <si>
    <t>Fundamentals of Intelligent Communication System-I</t>
  </si>
  <si>
    <t>CS-514</t>
  </si>
  <si>
    <t>Data Structures and Algorithms -II</t>
  </si>
  <si>
    <t>AR-505</t>
  </si>
  <si>
    <t>Principles of Robot Autonomy   </t>
  </si>
  <si>
    <t>CS-212</t>
  </si>
  <si>
    <t>AR-504</t>
  </si>
  <si>
    <t xml:space="preserve">Signals &amp; Systems </t>
  </si>
  <si>
    <t>EE-604</t>
  </si>
  <si>
    <t>Basket of IC Course - 6</t>
  </si>
  <si>
    <t xml:space="preserve">Open Elective with Specialization </t>
  </si>
  <si>
    <t>Degree Credits (with Specialization)</t>
  </si>
  <si>
    <r>
      <t>Degree Credits (</t>
    </r>
    <r>
      <rPr>
        <b/>
        <sz val="11"/>
        <color rgb="FF0070C0"/>
        <rFont val="Lora"/>
      </rPr>
      <t>without</t>
    </r>
    <r>
      <rPr>
        <sz val="11"/>
        <color rgb="FF0070C0"/>
        <rFont val="Lora"/>
      </rPr>
      <t xml:space="preserve"> Specialization)</t>
    </r>
  </si>
  <si>
    <t>CE-251</t>
  </si>
  <si>
    <t>Hydraulics Engineering</t>
  </si>
  <si>
    <t>EE-536</t>
  </si>
  <si>
    <t>EE-311</t>
  </si>
  <si>
    <t>Device Electronics for Integrated Circuits</t>
  </si>
  <si>
    <t>EE-203</t>
  </si>
  <si>
    <t>EE-202</t>
  </si>
  <si>
    <t>ME-510</t>
  </si>
  <si>
    <t>Advance Manufacturing Process</t>
  </si>
  <si>
    <t>IC010</t>
  </si>
  <si>
    <t>Internship</t>
  </si>
  <si>
    <t>ISTP</t>
  </si>
  <si>
    <t>ME-305</t>
  </si>
  <si>
    <t>Design of Machine Elements</t>
  </si>
  <si>
    <t>Network Theory</t>
  </si>
  <si>
    <t>FDP+ DP + ISTP + MTP or equivalent - 19</t>
  </si>
  <si>
    <t>DP301</t>
  </si>
  <si>
    <t>IC + Basket + HSS + ISTP + IKS + FDP + DP + MTP Credits</t>
  </si>
  <si>
    <t xml:space="preserve">Discipline Elective </t>
  </si>
  <si>
    <t>HS-307</t>
  </si>
  <si>
    <t>Macroeconomics</t>
  </si>
  <si>
    <t>ME-100</t>
  </si>
  <si>
    <t>HS-541</t>
  </si>
  <si>
    <t>Technical Communication</t>
  </si>
  <si>
    <t>AR-511</t>
  </si>
  <si>
    <t>Autonomous Mobile Robots</t>
  </si>
  <si>
    <t>AR-508</t>
  </si>
  <si>
    <t>Marine Robotics</t>
  </si>
  <si>
    <t>AR-514</t>
  </si>
  <si>
    <t>Vision &amp; Learning Based Control</t>
  </si>
  <si>
    <t>AR-510</t>
  </si>
  <si>
    <t>Underactuated Robots</t>
  </si>
  <si>
    <t>Robot Programming</t>
  </si>
  <si>
    <t>AR-502</t>
  </si>
  <si>
    <t>Advanced Design Practicum</t>
  </si>
  <si>
    <t>IC-253</t>
  </si>
  <si>
    <t>IC-241</t>
  </si>
  <si>
    <t>Discipline Elective - 30</t>
  </si>
  <si>
    <t>ME-212</t>
  </si>
  <si>
    <t>EE-301</t>
  </si>
  <si>
    <t>Discipline Core - 36</t>
  </si>
  <si>
    <t>Unmanned Areial System</t>
  </si>
  <si>
    <t>AR XXXX</t>
  </si>
  <si>
    <t>HSS; IKS- 15</t>
  </si>
  <si>
    <t>IC Courses - 32</t>
  </si>
  <si>
    <t>ME-213</t>
  </si>
  <si>
    <t>Information, Security, Privacy</t>
  </si>
  <si>
    <t>Tensors: …. Applications for Signal Processing, ML</t>
  </si>
  <si>
    <t>Statistical Foundation of Data Science</t>
  </si>
  <si>
    <t>Material Science for engineers</t>
  </si>
  <si>
    <t>NPTEL</t>
  </si>
  <si>
    <r>
      <rPr>
        <b/>
        <sz val="11"/>
        <color theme="1"/>
        <rFont val="Lora"/>
      </rPr>
      <t xml:space="preserve">Without </t>
    </r>
    <r>
      <rPr>
        <sz val="11"/>
        <color theme="1"/>
        <rFont val="Lora"/>
      </rPr>
      <t>Specialization (Free Electives)**</t>
    </r>
  </si>
  <si>
    <t>**The combination of Open Elective courses should be less than 40% of the DC courses of a specific branch</t>
  </si>
  <si>
    <r>
      <t xml:space="preserve">**This will lead to a degree in </t>
    </r>
    <r>
      <rPr>
        <b/>
        <sz val="11"/>
        <color theme="1"/>
        <rFont val="Lora"/>
      </rPr>
      <t>General Engineering</t>
    </r>
    <r>
      <rPr>
        <sz val="11"/>
        <color theme="1"/>
        <rFont val="Lora"/>
      </rPr>
      <t xml:space="preserve"> only</t>
    </r>
  </si>
  <si>
    <t>Sem-5 Courses</t>
  </si>
  <si>
    <t>Sem-6 Courses</t>
  </si>
  <si>
    <t>Sem-7 Courses</t>
  </si>
  <si>
    <t>Sem-8 Courses</t>
  </si>
  <si>
    <t>DE/FE</t>
  </si>
  <si>
    <t>Sem-1 Courses</t>
  </si>
  <si>
    <t>Complex and Vector Calculus</t>
  </si>
  <si>
    <t>Computing and Data Science</t>
  </si>
  <si>
    <t>Enviromental Science</t>
  </si>
  <si>
    <t>Sem-2 Courses</t>
  </si>
  <si>
    <t>HSS</t>
  </si>
  <si>
    <t>FDP</t>
  </si>
  <si>
    <t>Sem-3 Courses</t>
  </si>
  <si>
    <t>Sem-4 Courses</t>
  </si>
  <si>
    <t>Electrical System around us</t>
  </si>
  <si>
    <t>ME 212</t>
  </si>
  <si>
    <t>DS 201</t>
  </si>
  <si>
    <t>Data Handling and Visualisation</t>
  </si>
  <si>
    <t>EE 203</t>
  </si>
  <si>
    <t>IC202P</t>
  </si>
  <si>
    <t>Design Practicum</t>
  </si>
  <si>
    <t>IC102P</t>
  </si>
  <si>
    <t>EE-201p</t>
  </si>
  <si>
    <t>Electromechanics Lab</t>
  </si>
  <si>
    <t>HS-202</t>
  </si>
  <si>
    <t>Principles of Economics</t>
  </si>
  <si>
    <t>IKS Basket</t>
  </si>
  <si>
    <t>HSS Basket</t>
  </si>
  <si>
    <t>Type</t>
  </si>
  <si>
    <t>IC</t>
  </si>
  <si>
    <t>ICB</t>
  </si>
  <si>
    <t>IC161P</t>
  </si>
  <si>
    <t>IC222P</t>
  </si>
  <si>
    <t>Project</t>
  </si>
  <si>
    <t>DC</t>
  </si>
  <si>
    <t>DC/DE/FE</t>
  </si>
  <si>
    <t>Sem-5 Courses (MECHATRONICS)</t>
  </si>
  <si>
    <t>Sem-5 Courses (COMMUNICATION ENGG.)</t>
  </si>
  <si>
    <t>Sem-5 Courses (ROBOTICS &amp; AI)</t>
  </si>
  <si>
    <t xml:space="preserve">MECHATRONICS </t>
  </si>
  <si>
    <t>COMMUNICATION ENGINEERING</t>
  </si>
  <si>
    <t>ROBOTICS &amp; AI</t>
  </si>
  <si>
    <t>CREDIT STRUCTURE GENERAL ENGINEERING</t>
  </si>
  <si>
    <t>AR-519</t>
  </si>
  <si>
    <t>Robot Manipulators</t>
  </si>
  <si>
    <t>Control of Robotic Systems</t>
  </si>
  <si>
    <t>AR-521</t>
  </si>
  <si>
    <t>AR-522</t>
  </si>
  <si>
    <t>Robot Vision</t>
  </si>
  <si>
    <t>Design Practicum of Mechatronic Systems</t>
  </si>
  <si>
    <t>AR-520</t>
  </si>
  <si>
    <t>ME215</t>
  </si>
  <si>
    <t>Optional to check instead of ME212</t>
  </si>
  <si>
    <t>ME504</t>
  </si>
  <si>
    <t>Numerical Methods for Engineering Computation</t>
  </si>
  <si>
    <t>ME527</t>
  </si>
  <si>
    <t>Thermal Management of Electronics</t>
  </si>
  <si>
    <t>ME630</t>
  </si>
  <si>
    <t>Machine Learning for Engineers</t>
  </si>
  <si>
    <t>EE-533</t>
  </si>
  <si>
    <t>Access Network</t>
  </si>
  <si>
    <t>EE-530</t>
  </si>
  <si>
    <t>Applied Optimization</t>
  </si>
  <si>
    <t>EE-607</t>
  </si>
  <si>
    <t>Optical Communication System</t>
  </si>
  <si>
    <t>FE</t>
  </si>
  <si>
    <t>CS-309</t>
  </si>
  <si>
    <t>Introduction to Database System</t>
  </si>
  <si>
    <t>AR-513</t>
  </si>
  <si>
    <t>Unnmanned Arial System (UAS)</t>
  </si>
  <si>
    <t>AR-524</t>
  </si>
  <si>
    <t>Robot Simulators</t>
  </si>
  <si>
    <t>AR-525</t>
  </si>
  <si>
    <t>Reinforcement Learning for Robotics</t>
  </si>
  <si>
    <t>AR-526</t>
  </si>
  <si>
    <t>Multimodal Learning</t>
  </si>
  <si>
    <t>MA-546</t>
  </si>
  <si>
    <t>Introduction to Quantitative Finance</t>
  </si>
  <si>
    <t>MA-552</t>
  </si>
  <si>
    <t>Number Theory</t>
  </si>
  <si>
    <t>MA-604</t>
  </si>
  <si>
    <t>Introduction to Game Theory</t>
  </si>
  <si>
    <t>Macroecoinomics-I</t>
  </si>
  <si>
    <t>EE-608</t>
  </si>
  <si>
    <t>EE-316</t>
  </si>
  <si>
    <t>Communication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</si>
</sst>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0"/>
      <color rgb="FF000000"/>
      <name val="Arial"/>
      <scheme val="minor"/>
    </font>
    <font>
      <b/>
      <sz val="11"/>
      <color rgb="FFFF0000"/>
      <name val="Lora"/>
    </font>
    <font>
      <sz val="11"/>
      <name val="Lora"/>
    </font>
    <font>
      <sz val="11"/>
      <color theme="1"/>
      <name val="Lora"/>
    </font>
    <font>
      <b/>
      <sz val="11"/>
      <color theme="1"/>
      <name val="Lora"/>
    </font>
    <font>
      <sz val="11"/>
      <color rgb="FF000000"/>
      <name val="Lora"/>
    </font>
    <font>
      <sz val="11"/>
      <color rgb="FF434343"/>
      <name val="Lora"/>
    </font>
    <font>
      <sz val="11"/>
      <color rgb="FFFF0000"/>
      <name val="Lora"/>
    </font>
    <font>
      <sz val="11"/>
      <color rgb="FF0070C0"/>
      <name val="Lora"/>
    </font>
    <font>
      <b/>
      <sz val="11"/>
      <color rgb="FF0070C0"/>
      <name val="Lora"/>
    </font>
    <font>
      <sz val="10"/>
      <color rgb="FF000000"/>
      <name val="Lora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3" fillId="0" borderId="0" xfId="0" applyFont="1"/>
    <xf numFmtId="0" fontId="5" fillId="0" borderId="0" xfId="0" applyFont="1"/>
    <xf numFmtId="0" fontId="3" fillId="2" borderId="4" xfId="0" applyFont="1" applyFill="1" applyBorder="1"/>
    <xf numFmtId="0" fontId="3" fillId="2" borderId="4" xfId="0" applyFont="1" applyFill="1" applyBorder="1" applyAlignment="1">
      <alignment horizontal="right"/>
    </xf>
    <xf numFmtId="0" fontId="3" fillId="0" borderId="4" xfId="0" applyFont="1" applyBorder="1"/>
    <xf numFmtId="0" fontId="3" fillId="2" borderId="5" xfId="0" applyFont="1" applyFill="1" applyBorder="1"/>
    <xf numFmtId="0" fontId="3" fillId="2" borderId="5" xfId="0" applyFont="1" applyFill="1" applyBorder="1" applyAlignment="1">
      <alignment horizontal="right"/>
    </xf>
    <xf numFmtId="0" fontId="3" fillId="2" borderId="10" xfId="0" applyFont="1" applyFill="1" applyBorder="1"/>
    <xf numFmtId="0" fontId="4" fillId="0" borderId="6" xfId="0" applyFont="1" applyBorder="1"/>
    <xf numFmtId="0" fontId="4" fillId="3" borderId="6" xfId="0" applyFont="1" applyFill="1" applyBorder="1"/>
    <xf numFmtId="0" fontId="3" fillId="2" borderId="10" xfId="0" applyFont="1" applyFill="1" applyBorder="1" applyAlignment="1">
      <alignment horizontal="right"/>
    </xf>
    <xf numFmtId="0" fontId="4" fillId="0" borderId="0" xfId="0" applyFont="1"/>
    <xf numFmtId="0" fontId="3" fillId="0" borderId="10" xfId="0" applyFont="1" applyBorder="1"/>
    <xf numFmtId="0" fontId="3" fillId="0" borderId="5" xfId="0" applyFont="1" applyBorder="1"/>
    <xf numFmtId="0" fontId="3" fillId="0" borderId="6" xfId="0" applyFont="1" applyBorder="1"/>
    <xf numFmtId="0" fontId="7" fillId="3" borderId="6" xfId="0" applyFont="1" applyFill="1" applyBorder="1"/>
    <xf numFmtId="0" fontId="8" fillId="3" borderId="6" xfId="0" applyFont="1" applyFill="1" applyBorder="1"/>
    <xf numFmtId="0" fontId="4" fillId="3" borderId="4" xfId="0" applyFont="1" applyFill="1" applyBorder="1"/>
    <xf numFmtId="0" fontId="4" fillId="3" borderId="5" xfId="0" applyFont="1" applyFill="1" applyBorder="1"/>
    <xf numFmtId="0" fontId="5" fillId="0" borderId="6" xfId="0" applyFont="1" applyBorder="1"/>
    <xf numFmtId="0" fontId="3" fillId="2" borderId="7" xfId="0" applyFont="1" applyFill="1" applyBorder="1"/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0" borderId="6" xfId="0" applyFont="1" applyBorder="1" applyAlignment="1">
      <alignment horizontal="right"/>
    </xf>
    <xf numFmtId="0" fontId="3" fillId="0" borderId="11" xfId="0" applyFont="1" applyBorder="1"/>
    <xf numFmtId="0" fontId="3" fillId="0" borderId="9" xfId="0" applyFont="1" applyBorder="1"/>
    <xf numFmtId="0" fontId="6" fillId="2" borderId="6" xfId="0" applyFont="1" applyFill="1" applyBorder="1" applyAlignment="1">
      <alignment horizontal="right"/>
    </xf>
    <xf numFmtId="0" fontId="3" fillId="2" borderId="6" xfId="0" applyFont="1" applyFill="1" applyBorder="1" applyAlignment="1">
      <alignment horizontal="right"/>
    </xf>
    <xf numFmtId="0" fontId="4" fillId="3" borderId="12" xfId="0" applyFont="1" applyFill="1" applyBorder="1"/>
    <xf numFmtId="0" fontId="2" fillId="0" borderId="6" xfId="0" applyFont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0" borderId="5" xfId="0" applyFont="1" applyBorder="1"/>
    <xf numFmtId="0" fontId="4" fillId="0" borderId="12" xfId="0" applyFont="1" applyBorder="1"/>
    <xf numFmtId="0" fontId="2" fillId="0" borderId="4" xfId="0" applyFont="1" applyBorder="1"/>
    <xf numFmtId="0" fontId="2" fillId="0" borderId="6" xfId="0" applyFont="1" applyBorder="1"/>
    <xf numFmtId="0" fontId="2" fillId="2" borderId="4" xfId="0" applyFont="1" applyFill="1" applyBorder="1"/>
    <xf numFmtId="0" fontId="2" fillId="0" borderId="5" xfId="0" applyFont="1" applyBorder="1"/>
    <xf numFmtId="0" fontId="5" fillId="0" borderId="13" xfId="0" applyFont="1" applyBorder="1"/>
    <xf numFmtId="0" fontId="4" fillId="4" borderId="12" xfId="0" applyFont="1" applyFill="1" applyBorder="1"/>
    <xf numFmtId="0" fontId="2" fillId="0" borderId="11" xfId="0" applyFont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5" fillId="0" borderId="11" xfId="0" applyFont="1" applyBorder="1"/>
    <xf numFmtId="0" fontId="4" fillId="3" borderId="6" xfId="0" applyFont="1" applyFill="1" applyBorder="1" applyAlignment="1">
      <alignment horizontal="center"/>
    </xf>
    <xf numFmtId="0" fontId="10" fillId="0" borderId="6" xfId="0" applyFont="1" applyBorder="1" applyAlignment="1">
      <alignment horizontal="center" wrapText="1"/>
    </xf>
    <xf numFmtId="0" fontId="5" fillId="0" borderId="6" xfId="0" applyFont="1" applyBorder="1" applyAlignment="1">
      <alignment horizontal="center"/>
    </xf>
    <xf numFmtId="0" fontId="3" fillId="0" borderId="7" xfId="0" applyFont="1" applyBorder="1"/>
    <xf numFmtId="0" fontId="6" fillId="0" borderId="5" xfId="0" applyFont="1" applyBorder="1" applyAlignment="1">
      <alignment horizontal="right"/>
    </xf>
    <xf numFmtId="0" fontId="2" fillId="0" borderId="1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6" xfId="0" applyFont="1" applyBorder="1" applyAlignment="1">
      <alignment horizontal="right"/>
    </xf>
    <xf numFmtId="0" fontId="8" fillId="3" borderId="6" xfId="0" applyFont="1" applyFill="1" applyBorder="1" applyAlignment="1">
      <alignment horizontal="right"/>
    </xf>
    <xf numFmtId="0" fontId="7" fillId="3" borderId="6" xfId="0" applyFont="1" applyFill="1" applyBorder="1" applyAlignment="1">
      <alignment horizontal="right"/>
    </xf>
    <xf numFmtId="0" fontId="1" fillId="0" borderId="1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5" borderId="6" xfId="0" applyFont="1" applyFill="1" applyBorder="1"/>
  </cellXfs>
  <cellStyles count="1">
    <cellStyle name="Normal" xfId="0" builtinId="0"/>
  </cellStyles>
  <dxfs count="2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1">
    <tableStyle name="IC Courses-style" pivot="0" count="2" xr9:uid="{00000000-0011-0000-FFFF-FFFF00000000}">
      <tableStyleElement type="firstRowStripe" dxfId="21"/>
      <tableStyleElement type="secondRowStripe" dxfId="20"/>
    </tableStyle>
    <tableStyle name="Mechatronics-style" pivot="0" count="2" xr9:uid="{00000000-0011-0000-FFFF-FFFF01000000}">
      <tableStyleElement type="firstRowStripe" dxfId="19"/>
      <tableStyleElement type="secondRowStripe" dxfId="18"/>
    </tableStyle>
    <tableStyle name="Communication-style" pivot="0" count="2" xr9:uid="{00000000-0011-0000-FFFF-FFFF02000000}">
      <tableStyleElement type="firstRowStripe" dxfId="17"/>
      <tableStyleElement type="secondRowStripe" dxfId="16"/>
    </tableStyle>
    <tableStyle name="FinTech-style" pivot="0" count="2" xr9:uid="{00000000-0011-0000-FFFF-FFFF03000000}">
      <tableStyleElement type="firstRowStripe" dxfId="15"/>
      <tableStyleElement type="secondRowStripe" dxfId="14"/>
    </tableStyle>
    <tableStyle name="FinTech-style 2" pivot="0" count="2" xr9:uid="{00000000-0011-0000-FFFF-FFFF04000000}">
      <tableStyleElement type="firstRowStripe" dxfId="13"/>
      <tableStyleElement type="secondRowStripe" dxfId="12"/>
    </tableStyle>
    <tableStyle name="AI &amp; Robotics-style" pivot="0" count="2" xr9:uid="{00000000-0011-0000-FFFF-FFFF05000000}">
      <tableStyleElement type="firstRowStripe" dxfId="11"/>
      <tableStyleElement type="secondRowStripe" dxfId="10"/>
    </tableStyle>
    <tableStyle name="AI &amp; Robotics-style 2" pivot="0" count="2" xr9:uid="{00000000-0011-0000-FFFF-FFFF06000000}">
      <tableStyleElement type="firstRowStripe" dxfId="9"/>
      <tableStyleElement type="secondRowStripe" dxfId="8"/>
    </tableStyle>
    <tableStyle name="AI &amp; Robotics-style 3" pivot="0" count="2" xr9:uid="{00000000-0011-0000-FFFF-FFFF07000000}">
      <tableStyleElement type="firstRowStripe" dxfId="7"/>
      <tableStyleElement type="secondRowStripe" dxfId="6"/>
    </tableStyle>
    <tableStyle name="AI &amp; Robotics-style 4" pivot="0" count="2" xr9:uid="{00000000-0011-0000-FFFF-FFFF08000000}">
      <tableStyleElement type="firstRowStripe" dxfId="5"/>
      <tableStyleElement type="secondRowStripe" dxfId="4"/>
    </tableStyle>
    <tableStyle name="AI &amp; Robotics-style 5" pivot="0" count="2" xr9:uid="{00000000-0011-0000-FFFF-FFFF09000000}">
      <tableStyleElement type="firstRowStripe" dxfId="3"/>
      <tableStyleElement type="secondRowStripe" dxfId="2"/>
    </tableStyle>
    <tableStyle name="AI &amp; Robotics-style 6" pivot="0" count="2" xr9:uid="{00000000-0011-0000-FFFF-FFFF0A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T995"/>
  <sheetViews>
    <sheetView tabSelected="1" topLeftCell="A18" zoomScale="80" zoomScaleNormal="80" workbookViewId="0">
      <selection activeCell="E40" sqref="E40"/>
    </sheetView>
  </sheetViews>
  <sheetFormatPr baseColWidth="10" defaultColWidth="12.6640625" defaultRowHeight="25.25" customHeight="1" x14ac:dyDescent="0.2"/>
  <cols>
    <col min="1" max="1" width="12.6640625" style="2"/>
    <col min="2" max="2" width="43.1640625" style="2" customWidth="1"/>
    <col min="3" max="3" width="12.6640625" style="2"/>
    <col min="4" max="4" width="4.6640625" style="2" customWidth="1"/>
    <col min="5" max="5" width="12.6640625" style="2"/>
    <col min="6" max="6" width="34.6640625" style="2" customWidth="1"/>
    <col min="7" max="7" width="12.6640625" style="2"/>
    <col min="8" max="8" width="4.83203125" style="2" customWidth="1"/>
    <col min="9" max="9" width="12.6640625" style="2"/>
    <col min="10" max="10" width="40.1640625" style="2" customWidth="1"/>
    <col min="11" max="11" width="10.33203125" style="2" customWidth="1"/>
    <col min="12" max="12" width="12.6640625" style="2"/>
    <col min="13" max="13" width="5" style="2" customWidth="1"/>
    <col min="14" max="14" width="12.6640625" style="2"/>
    <col min="15" max="15" width="40.83203125" style="2" customWidth="1"/>
    <col min="16" max="16" width="9.5" style="2" customWidth="1"/>
    <col min="17" max="16384" width="12.6640625" style="2"/>
  </cols>
  <sheetData>
    <row r="1" spans="1:20" ht="25.25" customHeight="1" thickBot="1" x14ac:dyDescent="0.25">
      <c r="A1" s="54" t="s">
        <v>218</v>
      </c>
      <c r="B1" s="54"/>
      <c r="C1" s="54"/>
      <c r="D1" s="54"/>
      <c r="E1" s="54"/>
      <c r="F1" s="54"/>
      <c r="G1" s="54"/>
    </row>
    <row r="2" spans="1:20" ht="25.25" customHeight="1" thickTop="1" x14ac:dyDescent="0.2">
      <c r="A2" s="55" t="s">
        <v>166</v>
      </c>
      <c r="B2" s="56"/>
      <c r="C2" s="57"/>
      <c r="D2" s="1"/>
      <c r="E2" s="55" t="s">
        <v>118</v>
      </c>
      <c r="F2" s="56"/>
      <c r="G2" s="57"/>
      <c r="H2" s="1"/>
      <c r="I2" s="50" t="s">
        <v>181</v>
      </c>
      <c r="J2" s="50"/>
      <c r="K2" s="41" t="s">
        <v>2</v>
      </c>
      <c r="L2" s="30"/>
      <c r="M2" s="1"/>
      <c r="N2" s="50" t="s">
        <v>212</v>
      </c>
      <c r="O2" s="50"/>
      <c r="P2" s="30" t="s">
        <v>2</v>
      </c>
      <c r="Q2" s="15"/>
      <c r="R2" s="1"/>
      <c r="S2" s="1"/>
      <c r="T2" s="1"/>
    </row>
    <row r="3" spans="1:20" ht="25.25" customHeight="1" x14ac:dyDescent="0.2">
      <c r="A3" s="10" t="s">
        <v>0</v>
      </c>
      <c r="B3" s="10" t="s">
        <v>1</v>
      </c>
      <c r="C3" s="10" t="s">
        <v>2</v>
      </c>
      <c r="D3" s="1"/>
      <c r="E3" s="10" t="s">
        <v>0</v>
      </c>
      <c r="F3" s="10" t="s">
        <v>1</v>
      </c>
      <c r="G3" s="10" t="s">
        <v>2</v>
      </c>
      <c r="H3" s="12"/>
      <c r="I3" s="40" t="s">
        <v>0</v>
      </c>
      <c r="J3" s="29" t="s">
        <v>1</v>
      </c>
      <c r="K3" s="42">
        <f>SUM(K4:K11)</f>
        <v>21</v>
      </c>
      <c r="L3" s="44" t="s">
        <v>204</v>
      </c>
      <c r="M3" s="1"/>
      <c r="N3" s="34" t="s">
        <v>0</v>
      </c>
      <c r="O3" s="29" t="s">
        <v>1</v>
      </c>
      <c r="P3" s="31">
        <f>SUM(P4:P11)</f>
        <v>21</v>
      </c>
      <c r="Q3" s="44" t="s">
        <v>204</v>
      </c>
      <c r="R3" s="1"/>
      <c r="S3" s="1"/>
      <c r="T3" s="1"/>
    </row>
    <row r="4" spans="1:20" ht="25.25" customHeight="1" x14ac:dyDescent="0.2">
      <c r="A4" s="8" t="s">
        <v>3</v>
      </c>
      <c r="B4" s="8" t="s">
        <v>4</v>
      </c>
      <c r="C4" s="8">
        <v>2</v>
      </c>
      <c r="D4" s="1"/>
      <c r="E4" s="8" t="s">
        <v>5</v>
      </c>
      <c r="F4" s="8" t="s">
        <v>6</v>
      </c>
      <c r="G4" s="11">
        <v>3</v>
      </c>
      <c r="H4" s="1"/>
      <c r="I4" s="15" t="s">
        <v>3</v>
      </c>
      <c r="J4" s="15" t="s">
        <v>4</v>
      </c>
      <c r="K4" s="25">
        <v>2</v>
      </c>
      <c r="L4" s="45" t="s">
        <v>205</v>
      </c>
      <c r="M4" s="1"/>
      <c r="N4" s="15" t="s">
        <v>161</v>
      </c>
      <c r="O4" s="15" t="s">
        <v>63</v>
      </c>
      <c r="P4" s="15">
        <v>3</v>
      </c>
      <c r="Q4" s="45" t="s">
        <v>210</v>
      </c>
      <c r="R4" s="1"/>
      <c r="S4" s="1"/>
      <c r="T4" s="1"/>
    </row>
    <row r="5" spans="1:20" ht="25.25" customHeight="1" x14ac:dyDescent="0.2">
      <c r="A5" s="3" t="s">
        <v>7</v>
      </c>
      <c r="B5" s="3" t="s">
        <v>8</v>
      </c>
      <c r="C5" s="4">
        <v>2</v>
      </c>
      <c r="D5" s="1"/>
      <c r="E5" s="5" t="s">
        <v>9</v>
      </c>
      <c r="F5" s="5" t="s">
        <v>10</v>
      </c>
      <c r="G5" s="5">
        <v>3</v>
      </c>
      <c r="H5" s="1"/>
      <c r="I5" s="15" t="s">
        <v>7</v>
      </c>
      <c r="J5" s="15" t="s">
        <v>182</v>
      </c>
      <c r="K5" s="25">
        <v>2</v>
      </c>
      <c r="L5" s="45" t="s">
        <v>205</v>
      </c>
      <c r="M5" s="1"/>
      <c r="N5" s="5" t="s">
        <v>87</v>
      </c>
      <c r="O5" s="5" t="s">
        <v>66</v>
      </c>
      <c r="P5" s="5">
        <v>3</v>
      </c>
      <c r="Q5" s="45" t="s">
        <v>210</v>
      </c>
      <c r="R5" s="1"/>
      <c r="S5" s="1"/>
      <c r="T5" s="1"/>
    </row>
    <row r="6" spans="1:20" ht="25.25" customHeight="1" x14ac:dyDescent="0.2">
      <c r="A6" s="3" t="s">
        <v>12</v>
      </c>
      <c r="B6" s="3" t="s">
        <v>13</v>
      </c>
      <c r="C6" s="4">
        <v>4</v>
      </c>
      <c r="D6" s="1"/>
      <c r="E6" s="1"/>
      <c r="F6" s="1"/>
      <c r="G6" s="9">
        <f>SUM(G4:G5)</f>
        <v>6</v>
      </c>
      <c r="H6" s="1"/>
      <c r="I6" s="15" t="s">
        <v>12</v>
      </c>
      <c r="J6" s="15" t="s">
        <v>13</v>
      </c>
      <c r="K6" s="25">
        <v>4</v>
      </c>
      <c r="L6" s="45" t="s">
        <v>205</v>
      </c>
      <c r="M6" s="1"/>
      <c r="N6" s="15" t="s">
        <v>226</v>
      </c>
      <c r="O6" s="15" t="s">
        <v>225</v>
      </c>
      <c r="P6" s="15">
        <v>3</v>
      </c>
      <c r="Q6" s="45" t="s">
        <v>210</v>
      </c>
      <c r="R6" s="1"/>
      <c r="S6" s="1"/>
      <c r="T6" s="1"/>
    </row>
    <row r="7" spans="1:20" ht="25.25" customHeight="1" x14ac:dyDescent="0.2">
      <c r="A7" s="3" t="s">
        <v>15</v>
      </c>
      <c r="B7" s="3" t="s">
        <v>16</v>
      </c>
      <c r="C7" s="4">
        <v>4</v>
      </c>
      <c r="D7" s="1"/>
      <c r="E7" s="1"/>
      <c r="F7" s="1"/>
      <c r="G7" s="1"/>
      <c r="H7" s="1"/>
      <c r="I7" s="15" t="s">
        <v>15</v>
      </c>
      <c r="J7" s="15" t="s">
        <v>183</v>
      </c>
      <c r="K7" s="25">
        <v>4</v>
      </c>
      <c r="L7" s="45" t="s">
        <v>205</v>
      </c>
      <c r="M7" s="1"/>
      <c r="N7" s="5" t="s">
        <v>52</v>
      </c>
      <c r="O7" s="5" t="s">
        <v>53</v>
      </c>
      <c r="P7" s="5">
        <v>3</v>
      </c>
      <c r="Q7" s="45" t="s">
        <v>210</v>
      </c>
      <c r="R7" s="1"/>
      <c r="S7" s="1"/>
      <c r="T7" s="1"/>
    </row>
    <row r="8" spans="1:20" ht="25.25" customHeight="1" x14ac:dyDescent="0.2">
      <c r="A8" s="3" t="s">
        <v>18</v>
      </c>
      <c r="B8" s="3" t="s">
        <v>19</v>
      </c>
      <c r="C8" s="4">
        <v>2</v>
      </c>
      <c r="D8" s="1"/>
      <c r="E8" s="55" t="s">
        <v>165</v>
      </c>
      <c r="F8" s="56"/>
      <c r="G8" s="57"/>
      <c r="H8" s="1"/>
      <c r="I8" s="15" t="s">
        <v>5</v>
      </c>
      <c r="J8" s="15" t="s">
        <v>184</v>
      </c>
      <c r="K8" s="25">
        <v>3</v>
      </c>
      <c r="L8" s="45" t="s">
        <v>206</v>
      </c>
      <c r="M8" s="1"/>
      <c r="N8" s="15" t="s">
        <v>180</v>
      </c>
      <c r="O8" s="15"/>
      <c r="P8" s="15">
        <v>3</v>
      </c>
      <c r="Q8" s="39" t="s">
        <v>180</v>
      </c>
      <c r="R8" s="1"/>
      <c r="S8" s="1"/>
      <c r="T8" s="1"/>
    </row>
    <row r="9" spans="1:20" ht="25.25" customHeight="1" x14ac:dyDescent="0.2">
      <c r="A9" s="3" t="s">
        <v>22</v>
      </c>
      <c r="B9" s="3" t="s">
        <v>23</v>
      </c>
      <c r="C9" s="4">
        <v>2</v>
      </c>
      <c r="D9" s="1"/>
      <c r="E9" s="10" t="s">
        <v>0</v>
      </c>
      <c r="F9" s="10" t="s">
        <v>1</v>
      </c>
      <c r="G9" s="10" t="s">
        <v>2</v>
      </c>
      <c r="H9" s="1"/>
      <c r="I9" s="15" t="s">
        <v>202</v>
      </c>
      <c r="J9" s="15"/>
      <c r="K9" s="25">
        <v>3</v>
      </c>
      <c r="L9" s="45" t="s">
        <v>11</v>
      </c>
      <c r="M9" s="1"/>
      <c r="N9" s="15" t="s">
        <v>180</v>
      </c>
      <c r="O9" s="15"/>
      <c r="P9" s="15">
        <v>3</v>
      </c>
      <c r="Q9" s="39" t="s">
        <v>180</v>
      </c>
      <c r="R9" s="1"/>
      <c r="S9" s="1"/>
      <c r="T9" s="1"/>
    </row>
    <row r="10" spans="1:20" ht="25.25" customHeight="1" x14ac:dyDescent="0.2">
      <c r="A10" s="3" t="s">
        <v>25</v>
      </c>
      <c r="B10" s="3" t="s">
        <v>26</v>
      </c>
      <c r="C10" s="4">
        <v>3</v>
      </c>
      <c r="D10" s="1"/>
      <c r="E10" s="5"/>
      <c r="F10" s="5" t="s">
        <v>11</v>
      </c>
      <c r="G10" s="5">
        <v>3</v>
      </c>
      <c r="H10" s="1"/>
      <c r="I10" s="20" t="s">
        <v>203</v>
      </c>
      <c r="J10" s="20"/>
      <c r="K10" s="43">
        <v>3</v>
      </c>
      <c r="L10" s="46" t="s">
        <v>186</v>
      </c>
      <c r="M10" s="1"/>
      <c r="N10" s="15" t="s">
        <v>180</v>
      </c>
      <c r="O10" s="15"/>
      <c r="P10" s="15">
        <v>3</v>
      </c>
      <c r="Q10" s="39" t="s">
        <v>180</v>
      </c>
      <c r="R10" s="1"/>
      <c r="S10" s="1"/>
      <c r="T10" s="1"/>
    </row>
    <row r="11" spans="1:20" ht="25.25" customHeight="1" x14ac:dyDescent="0.2">
      <c r="A11" s="3" t="s">
        <v>27</v>
      </c>
      <c r="B11" s="3" t="s">
        <v>28</v>
      </c>
      <c r="C11" s="4">
        <v>2</v>
      </c>
      <c r="D11" s="1"/>
      <c r="E11" s="5"/>
      <c r="F11" s="5" t="s">
        <v>14</v>
      </c>
      <c r="G11" s="5">
        <v>3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25.25" customHeight="1" x14ac:dyDescent="0.2">
      <c r="A12" s="3" t="s">
        <v>29</v>
      </c>
      <c r="B12" s="3" t="s">
        <v>30</v>
      </c>
      <c r="C12" s="4">
        <v>2</v>
      </c>
      <c r="D12" s="1"/>
      <c r="E12" s="5"/>
      <c r="F12" s="5" t="s">
        <v>17</v>
      </c>
      <c r="G12" s="5">
        <v>3</v>
      </c>
      <c r="H12" s="1"/>
      <c r="M12" s="1"/>
      <c r="N12" s="1"/>
      <c r="O12" s="1"/>
      <c r="P12" s="1"/>
      <c r="Q12" s="1"/>
      <c r="R12" s="1"/>
      <c r="S12" s="1"/>
      <c r="T12" s="1"/>
    </row>
    <row r="13" spans="1:20" ht="25.25" customHeight="1" x14ac:dyDescent="0.2">
      <c r="A13" s="3" t="s">
        <v>131</v>
      </c>
      <c r="B13" s="3" t="s">
        <v>132</v>
      </c>
      <c r="C13" s="4">
        <v>2</v>
      </c>
      <c r="D13" s="1"/>
      <c r="E13" s="5"/>
      <c r="F13" s="5" t="s">
        <v>20</v>
      </c>
      <c r="G13" s="5">
        <v>3</v>
      </c>
      <c r="H13" s="1"/>
      <c r="I13" s="50" t="s">
        <v>185</v>
      </c>
      <c r="J13" s="50"/>
      <c r="K13" s="30" t="s">
        <v>2</v>
      </c>
      <c r="L13" s="30"/>
      <c r="M13" s="1"/>
      <c r="N13" s="50" t="s">
        <v>213</v>
      </c>
      <c r="O13" s="50"/>
      <c r="P13" s="30" t="s">
        <v>2</v>
      </c>
      <c r="Q13" s="15"/>
      <c r="R13" s="1"/>
      <c r="S13" s="1"/>
      <c r="T13" s="1"/>
    </row>
    <row r="14" spans="1:20" ht="25.25" customHeight="1" x14ac:dyDescent="0.2">
      <c r="A14" s="3" t="s">
        <v>31</v>
      </c>
      <c r="B14" s="3" t="s">
        <v>32</v>
      </c>
      <c r="C14" s="4">
        <v>4</v>
      </c>
      <c r="D14" s="1"/>
      <c r="E14" s="5"/>
      <c r="F14" s="5" t="s">
        <v>24</v>
      </c>
      <c r="G14" s="14">
        <v>3</v>
      </c>
      <c r="H14" s="1"/>
      <c r="I14" s="40" t="s">
        <v>0</v>
      </c>
      <c r="J14" s="29" t="s">
        <v>1</v>
      </c>
      <c r="K14" s="31">
        <f>SUM(K15:K22)</f>
        <v>22</v>
      </c>
      <c r="L14" s="44" t="s">
        <v>204</v>
      </c>
      <c r="M14" s="1"/>
      <c r="N14" s="34" t="s">
        <v>0</v>
      </c>
      <c r="O14" s="29" t="s">
        <v>1</v>
      </c>
      <c r="P14" s="31">
        <f>SUM(P15:P22)</f>
        <v>20</v>
      </c>
      <c r="Q14" s="44" t="s">
        <v>204</v>
      </c>
      <c r="R14" s="1"/>
      <c r="S14" s="1"/>
      <c r="T14" s="1"/>
    </row>
    <row r="15" spans="1:20" ht="25.25" customHeight="1" x14ac:dyDescent="0.2">
      <c r="A15" s="3" t="s">
        <v>37</v>
      </c>
      <c r="B15" s="3" t="s">
        <v>38</v>
      </c>
      <c r="C15" s="7">
        <v>3</v>
      </c>
      <c r="D15" s="1"/>
      <c r="E15" s="1"/>
      <c r="F15" s="1"/>
      <c r="G15" s="9">
        <f>SUM(G10:G14)</f>
        <v>15</v>
      </c>
      <c r="H15" s="1"/>
      <c r="I15" s="15" t="s">
        <v>18</v>
      </c>
      <c r="J15" s="15" t="s">
        <v>19</v>
      </c>
      <c r="K15" s="15">
        <v>2</v>
      </c>
      <c r="L15" s="45" t="s">
        <v>205</v>
      </c>
      <c r="M15" s="1"/>
      <c r="N15" s="5" t="s">
        <v>50</v>
      </c>
      <c r="O15" s="5" t="s">
        <v>51</v>
      </c>
      <c r="P15" s="5">
        <v>3</v>
      </c>
      <c r="Q15" s="45" t="s">
        <v>210</v>
      </c>
      <c r="R15" s="1"/>
      <c r="S15" s="1"/>
      <c r="T15" s="1"/>
    </row>
    <row r="16" spans="1:20" ht="25.25" customHeight="1" x14ac:dyDescent="0.2">
      <c r="A16" s="1"/>
      <c r="B16" s="1"/>
      <c r="C16" s="9">
        <f>SUM(C4:C15)</f>
        <v>32</v>
      </c>
      <c r="D16" s="1"/>
      <c r="E16" s="1"/>
      <c r="F16" s="1"/>
      <c r="G16" s="1"/>
      <c r="H16" s="1"/>
      <c r="I16" s="15" t="s">
        <v>22</v>
      </c>
      <c r="J16" s="15" t="s">
        <v>23</v>
      </c>
      <c r="K16" s="15">
        <v>2</v>
      </c>
      <c r="L16" s="45" t="s">
        <v>205</v>
      </c>
      <c r="M16" s="1"/>
      <c r="N16" s="5" t="s">
        <v>87</v>
      </c>
      <c r="O16" s="5" t="s">
        <v>66</v>
      </c>
      <c r="P16" s="5">
        <v>3</v>
      </c>
      <c r="Q16" s="45" t="s">
        <v>210</v>
      </c>
      <c r="R16" s="1"/>
      <c r="S16" s="1"/>
      <c r="T16" s="1"/>
    </row>
    <row r="17" spans="1:20" ht="25.25" customHeight="1" x14ac:dyDescent="0.2">
      <c r="A17" s="1"/>
      <c r="B17" s="1"/>
      <c r="C17" s="1"/>
      <c r="D17" s="1"/>
      <c r="E17" s="55" t="s">
        <v>137</v>
      </c>
      <c r="F17" s="56"/>
      <c r="G17" s="57"/>
      <c r="H17" s="1"/>
      <c r="I17" s="15" t="s">
        <v>25</v>
      </c>
      <c r="J17" s="15" t="s">
        <v>26</v>
      </c>
      <c r="K17" s="15">
        <v>3</v>
      </c>
      <c r="L17" s="45" t="s">
        <v>205</v>
      </c>
      <c r="M17" s="1"/>
      <c r="N17" s="5" t="s">
        <v>78</v>
      </c>
      <c r="O17" s="5" t="s">
        <v>79</v>
      </c>
      <c r="P17" s="5">
        <v>4</v>
      </c>
      <c r="Q17" s="45" t="s">
        <v>210</v>
      </c>
      <c r="R17" s="1"/>
      <c r="S17" s="1"/>
      <c r="T17" s="1"/>
    </row>
    <row r="18" spans="1:20" ht="25.25" customHeight="1" x14ac:dyDescent="0.2">
      <c r="A18" s="51" t="s">
        <v>139</v>
      </c>
      <c r="B18" s="51"/>
      <c r="C18" s="15">
        <f>SUM(C16+G6+G15+G24)</f>
        <v>72</v>
      </c>
      <c r="E18" s="10" t="s">
        <v>0</v>
      </c>
      <c r="F18" s="10" t="s">
        <v>1</v>
      </c>
      <c r="G18" s="10" t="s">
        <v>2</v>
      </c>
      <c r="I18" s="15" t="s">
        <v>207</v>
      </c>
      <c r="J18" s="15" t="s">
        <v>28</v>
      </c>
      <c r="K18" s="15">
        <v>2</v>
      </c>
      <c r="L18" s="45" t="s">
        <v>205</v>
      </c>
      <c r="N18" s="5" t="s">
        <v>82</v>
      </c>
      <c r="O18" s="5" t="s">
        <v>83</v>
      </c>
      <c r="P18" s="5">
        <v>4</v>
      </c>
      <c r="Q18" s="45" t="s">
        <v>210</v>
      </c>
    </row>
    <row r="19" spans="1:20" ht="25.25" customHeight="1" x14ac:dyDescent="0.2">
      <c r="A19" s="51" t="s">
        <v>39</v>
      </c>
      <c r="B19" s="51"/>
      <c r="C19" s="15">
        <v>36</v>
      </c>
      <c r="E19" s="3" t="s">
        <v>33</v>
      </c>
      <c r="F19" s="3" t="s">
        <v>34</v>
      </c>
      <c r="G19" s="4">
        <v>4</v>
      </c>
      <c r="I19" s="15" t="s">
        <v>208</v>
      </c>
      <c r="J19" s="15" t="s">
        <v>30</v>
      </c>
      <c r="K19" s="15">
        <v>2</v>
      </c>
      <c r="L19" s="45" t="s">
        <v>205</v>
      </c>
      <c r="N19" s="39" t="s">
        <v>180</v>
      </c>
      <c r="O19" s="39"/>
      <c r="P19" s="39">
        <v>3</v>
      </c>
      <c r="Q19" s="39" t="s">
        <v>180</v>
      </c>
    </row>
    <row r="20" spans="1:20" ht="25.25" customHeight="1" x14ac:dyDescent="0.2">
      <c r="A20" s="51" t="s">
        <v>119</v>
      </c>
      <c r="B20" s="51"/>
      <c r="C20" s="15">
        <v>22</v>
      </c>
      <c r="E20" s="6" t="s">
        <v>35</v>
      </c>
      <c r="F20" s="6" t="s">
        <v>36</v>
      </c>
      <c r="G20" s="7">
        <v>3</v>
      </c>
      <c r="I20" s="15" t="s">
        <v>31</v>
      </c>
      <c r="J20" s="15" t="s">
        <v>32</v>
      </c>
      <c r="K20" s="15">
        <v>4</v>
      </c>
      <c r="L20" s="45" t="s">
        <v>205</v>
      </c>
      <c r="N20" s="39" t="s">
        <v>180</v>
      </c>
      <c r="O20" s="39"/>
      <c r="P20" s="39">
        <v>3</v>
      </c>
      <c r="Q20" s="39" t="s">
        <v>180</v>
      </c>
    </row>
    <row r="21" spans="1:20" ht="25.25" customHeight="1" x14ac:dyDescent="0.2">
      <c r="A21" s="51" t="s">
        <v>140</v>
      </c>
      <c r="B21" s="51"/>
      <c r="C21" s="15">
        <v>30</v>
      </c>
      <c r="E21" s="5" t="s">
        <v>138</v>
      </c>
      <c r="F21" s="5" t="s">
        <v>133</v>
      </c>
      <c r="G21" s="5">
        <v>4</v>
      </c>
      <c r="I21" s="20" t="s">
        <v>9</v>
      </c>
      <c r="J21" s="20" t="s">
        <v>10</v>
      </c>
      <c r="K21" s="20">
        <v>3</v>
      </c>
      <c r="L21" s="46" t="s">
        <v>206</v>
      </c>
    </row>
    <row r="22" spans="1:20" ht="25.25" customHeight="1" x14ac:dyDescent="0.2">
      <c r="A22" s="53" t="s">
        <v>120</v>
      </c>
      <c r="B22" s="53" t="s">
        <v>120</v>
      </c>
      <c r="C22" s="16">
        <f>C18+C19+C20+C21</f>
        <v>160</v>
      </c>
      <c r="E22" s="14" t="s">
        <v>42</v>
      </c>
      <c r="F22" s="14" t="s">
        <v>43</v>
      </c>
      <c r="G22" s="5">
        <v>3</v>
      </c>
      <c r="I22" s="20" t="s">
        <v>197</v>
      </c>
      <c r="J22" s="20" t="s">
        <v>187</v>
      </c>
      <c r="K22" s="20">
        <v>4</v>
      </c>
      <c r="L22" s="30" t="s">
        <v>209</v>
      </c>
    </row>
    <row r="23" spans="1:20" ht="25.25" customHeight="1" x14ac:dyDescent="0.2">
      <c r="A23" s="51" t="s">
        <v>173</v>
      </c>
      <c r="B23" s="51"/>
      <c r="C23" s="15">
        <v>52</v>
      </c>
      <c r="E23" s="15" t="s">
        <v>48</v>
      </c>
      <c r="F23" s="15" t="s">
        <v>49</v>
      </c>
      <c r="G23" s="26">
        <v>5</v>
      </c>
    </row>
    <row r="24" spans="1:20" ht="25.25" customHeight="1" x14ac:dyDescent="0.2">
      <c r="A24" s="52" t="s">
        <v>121</v>
      </c>
      <c r="B24" s="52" t="s">
        <v>120</v>
      </c>
      <c r="C24" s="17">
        <f>C18+C19+C23</f>
        <v>160</v>
      </c>
      <c r="E24" s="1"/>
      <c r="F24" s="1"/>
      <c r="G24" s="9">
        <f>SUM(G19:G23)</f>
        <v>19</v>
      </c>
    </row>
    <row r="25" spans="1:20" ht="25.25" customHeight="1" x14ac:dyDescent="0.2">
      <c r="A25" s="1"/>
      <c r="B25" s="1"/>
      <c r="C25" s="1"/>
      <c r="D25" s="1"/>
      <c r="E25" s="1"/>
      <c r="F25" s="1"/>
      <c r="G25" s="1"/>
      <c r="H25" s="1"/>
      <c r="I25" s="50" t="s">
        <v>188</v>
      </c>
      <c r="J25" s="50"/>
      <c r="K25" s="30" t="s">
        <v>2</v>
      </c>
      <c r="L25" s="30"/>
      <c r="M25" s="1"/>
      <c r="N25" s="50" t="s">
        <v>214</v>
      </c>
      <c r="O25" s="50"/>
      <c r="P25" s="30" t="s">
        <v>2</v>
      </c>
      <c r="Q25" s="15"/>
      <c r="R25" s="1"/>
      <c r="S25" s="1"/>
      <c r="T25" s="1"/>
    </row>
    <row r="26" spans="1:20" ht="25.25" customHeight="1" x14ac:dyDescent="0.2">
      <c r="A26" s="1" t="s">
        <v>174</v>
      </c>
      <c r="D26" s="1"/>
      <c r="E26" s="1"/>
      <c r="F26" s="1"/>
      <c r="G26" s="1"/>
      <c r="H26" s="1"/>
      <c r="I26" s="40" t="s">
        <v>0</v>
      </c>
      <c r="J26" s="29" t="s">
        <v>1</v>
      </c>
      <c r="K26" s="31">
        <f>SUM(K27:K34)</f>
        <v>21</v>
      </c>
      <c r="L26" s="44" t="s">
        <v>204</v>
      </c>
      <c r="M26" s="1"/>
      <c r="N26" s="34" t="s">
        <v>0</v>
      </c>
      <c r="O26" s="29" t="s">
        <v>1</v>
      </c>
      <c r="P26" s="31">
        <f>SUM(P27:P34)</f>
        <v>21</v>
      </c>
      <c r="Q26" s="44" t="s">
        <v>204</v>
      </c>
      <c r="R26" s="1"/>
      <c r="S26" s="1"/>
      <c r="T26" s="1"/>
    </row>
    <row r="27" spans="1:20" ht="25.25" customHeight="1" x14ac:dyDescent="0.2">
      <c r="A27" s="1" t="s">
        <v>175</v>
      </c>
      <c r="D27" s="1"/>
      <c r="E27" s="1"/>
      <c r="F27" s="1"/>
      <c r="G27" s="1"/>
      <c r="H27" s="1"/>
      <c r="I27" s="15" t="s">
        <v>37</v>
      </c>
      <c r="J27" s="15" t="s">
        <v>38</v>
      </c>
      <c r="K27" s="15">
        <v>3</v>
      </c>
      <c r="L27" s="45" t="s">
        <v>205</v>
      </c>
      <c r="M27" s="1"/>
      <c r="N27" s="15" t="s">
        <v>161</v>
      </c>
      <c r="O27" s="15" t="s">
        <v>63</v>
      </c>
      <c r="P27" s="15">
        <v>3</v>
      </c>
      <c r="Q27" s="45" t="s">
        <v>210</v>
      </c>
      <c r="R27" s="1"/>
      <c r="S27" s="1"/>
      <c r="T27" s="1"/>
    </row>
    <row r="28" spans="1:20" ht="25.25" customHeight="1" x14ac:dyDescent="0.2">
      <c r="D28" s="1"/>
      <c r="E28" s="1"/>
      <c r="F28" s="1"/>
      <c r="G28" s="1"/>
      <c r="H28" s="1"/>
      <c r="I28" s="15" t="s">
        <v>74</v>
      </c>
      <c r="J28" s="15" t="s">
        <v>171</v>
      </c>
      <c r="K28" s="15">
        <v>3</v>
      </c>
      <c r="L28" s="45" t="s">
        <v>211</v>
      </c>
      <c r="M28" s="1"/>
      <c r="N28" s="15" t="s">
        <v>219</v>
      </c>
      <c r="O28" s="15" t="s">
        <v>220</v>
      </c>
      <c r="P28" s="15">
        <v>3</v>
      </c>
      <c r="Q28" s="45" t="s">
        <v>210</v>
      </c>
      <c r="R28" s="1"/>
      <c r="S28" s="1"/>
      <c r="T28" s="1"/>
    </row>
    <row r="29" spans="1:20" ht="25.25" customHeight="1" x14ac:dyDescent="0.2">
      <c r="D29" s="1"/>
      <c r="E29" s="1"/>
      <c r="F29" s="1"/>
      <c r="G29" s="1"/>
      <c r="H29" s="1"/>
      <c r="I29" s="15" t="s">
        <v>44</v>
      </c>
      <c r="J29" s="15" t="s">
        <v>190</v>
      </c>
      <c r="K29" s="15">
        <v>3</v>
      </c>
      <c r="L29" s="45" t="s">
        <v>211</v>
      </c>
      <c r="M29" s="1"/>
      <c r="N29" s="15" t="s">
        <v>226</v>
      </c>
      <c r="O29" s="15" t="s">
        <v>225</v>
      </c>
      <c r="P29" s="15">
        <v>3</v>
      </c>
      <c r="Q29" s="45" t="s">
        <v>210</v>
      </c>
      <c r="R29" s="1"/>
      <c r="S29" s="1"/>
      <c r="T29" s="1"/>
    </row>
    <row r="30" spans="1:20" ht="25.25" customHeight="1" x14ac:dyDescent="0.2">
      <c r="D30" s="1"/>
      <c r="E30" s="1"/>
      <c r="F30" s="1"/>
      <c r="G30" s="1"/>
      <c r="H30" s="1"/>
      <c r="I30" s="15" t="s">
        <v>191</v>
      </c>
      <c r="J30" s="15" t="s">
        <v>70</v>
      </c>
      <c r="K30" s="15">
        <v>3</v>
      </c>
      <c r="L30" s="45" t="s">
        <v>211</v>
      </c>
      <c r="M30" s="1"/>
      <c r="N30" s="5" t="s">
        <v>52</v>
      </c>
      <c r="O30" s="5" t="s">
        <v>53</v>
      </c>
      <c r="P30" s="5">
        <v>3</v>
      </c>
      <c r="Q30" s="45" t="s">
        <v>210</v>
      </c>
      <c r="R30" s="1"/>
      <c r="S30" s="1"/>
      <c r="T30" s="1"/>
    </row>
    <row r="31" spans="1:20" ht="25.25" customHeight="1" x14ac:dyDescent="0.2">
      <c r="D31" s="1"/>
      <c r="F31" s="1"/>
      <c r="G31" s="1"/>
      <c r="H31" s="1"/>
      <c r="I31" s="15" t="s">
        <v>192</v>
      </c>
      <c r="J31" s="15" t="s">
        <v>193</v>
      </c>
      <c r="K31" s="15">
        <v>3</v>
      </c>
      <c r="L31" s="45" t="s">
        <v>211</v>
      </c>
      <c r="M31" s="1"/>
      <c r="N31" s="15" t="s">
        <v>222</v>
      </c>
      <c r="O31" s="15" t="s">
        <v>221</v>
      </c>
      <c r="P31" s="15">
        <v>3</v>
      </c>
      <c r="Q31" s="45" t="s">
        <v>210</v>
      </c>
      <c r="R31" s="1"/>
      <c r="S31" s="1"/>
      <c r="T31" s="1"/>
    </row>
    <row r="32" spans="1:20" ht="25.25" customHeight="1" x14ac:dyDescent="0.2">
      <c r="D32" s="1"/>
      <c r="F32" s="1"/>
      <c r="G32" s="1"/>
      <c r="H32" s="1"/>
      <c r="I32" s="15" t="s">
        <v>194</v>
      </c>
      <c r="J32" s="15" t="s">
        <v>136</v>
      </c>
      <c r="K32" s="15">
        <v>3</v>
      </c>
      <c r="L32" s="45" t="s">
        <v>211</v>
      </c>
      <c r="M32" s="1"/>
      <c r="N32" s="15" t="s">
        <v>180</v>
      </c>
      <c r="O32" s="15"/>
      <c r="P32" s="15">
        <v>3</v>
      </c>
      <c r="Q32" s="39" t="s">
        <v>180</v>
      </c>
      <c r="R32" s="1"/>
      <c r="S32" s="1"/>
      <c r="T32" s="1"/>
    </row>
    <row r="33" spans="1:20" ht="25.25" customHeight="1" x14ac:dyDescent="0.2">
      <c r="A33" s="1"/>
      <c r="B33" s="1"/>
      <c r="C33" s="1"/>
      <c r="D33" s="1"/>
      <c r="E33" s="1"/>
      <c r="F33" s="1"/>
      <c r="G33" s="1"/>
      <c r="H33" s="1"/>
      <c r="I33" s="15" t="s">
        <v>195</v>
      </c>
      <c r="J33" s="15" t="s">
        <v>196</v>
      </c>
      <c r="K33" s="15">
        <v>3</v>
      </c>
      <c r="L33" s="46" t="s">
        <v>209</v>
      </c>
      <c r="M33" s="1"/>
      <c r="N33" s="15" t="s">
        <v>180</v>
      </c>
      <c r="O33" s="15"/>
      <c r="P33" s="15">
        <v>3</v>
      </c>
      <c r="Q33" s="39" t="s">
        <v>180</v>
      </c>
      <c r="R33" s="1"/>
      <c r="S33" s="1"/>
      <c r="T33" s="1"/>
    </row>
    <row r="34" spans="1:20" ht="25.2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25.2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25.25" customHeight="1" x14ac:dyDescent="0.2">
      <c r="A36" s="1"/>
      <c r="B36" s="1"/>
      <c r="C36" s="1"/>
      <c r="D36" s="1"/>
      <c r="E36" s="1"/>
      <c r="F36" s="1"/>
      <c r="G36" s="1"/>
      <c r="H36" s="1"/>
      <c r="I36" s="50" t="s">
        <v>189</v>
      </c>
      <c r="J36" s="50"/>
      <c r="K36" s="30" t="s">
        <v>2</v>
      </c>
      <c r="L36" s="30"/>
      <c r="M36" s="1"/>
      <c r="N36" s="1"/>
      <c r="O36" s="1"/>
      <c r="P36" s="1"/>
      <c r="Q36" s="1"/>
      <c r="R36" s="1"/>
      <c r="S36" s="1"/>
      <c r="T36" s="1"/>
    </row>
    <row r="37" spans="1:20" ht="25.25" customHeight="1" x14ac:dyDescent="0.2">
      <c r="A37" s="1"/>
      <c r="B37" s="1"/>
      <c r="C37" s="1"/>
      <c r="D37" s="1"/>
      <c r="E37" s="1"/>
      <c r="F37" s="1"/>
      <c r="G37" s="1"/>
      <c r="H37" s="1"/>
      <c r="I37" s="40" t="s">
        <v>0</v>
      </c>
      <c r="J37" s="29" t="s">
        <v>1</v>
      </c>
      <c r="K37" s="31">
        <f>SUM(K38:K45)</f>
        <v>21</v>
      </c>
      <c r="L37" s="44" t="s">
        <v>204</v>
      </c>
      <c r="M37" s="1"/>
      <c r="N37" s="1"/>
      <c r="O37" s="1"/>
      <c r="P37" s="1"/>
      <c r="Q37" s="1"/>
      <c r="R37" s="1"/>
      <c r="S37" s="1"/>
      <c r="T37" s="1"/>
    </row>
    <row r="38" spans="1:20" ht="25.25" customHeight="1" x14ac:dyDescent="0.2">
      <c r="A38" s="1"/>
      <c r="B38" s="1"/>
      <c r="C38" s="1"/>
      <c r="D38" s="1"/>
      <c r="E38" s="1"/>
      <c r="F38" s="1"/>
      <c r="G38" s="1"/>
      <c r="H38" s="1"/>
      <c r="I38" s="15" t="s">
        <v>157</v>
      </c>
      <c r="J38" s="15" t="s">
        <v>81</v>
      </c>
      <c r="K38" s="15">
        <v>3</v>
      </c>
      <c r="L38" s="45" t="s">
        <v>205</v>
      </c>
      <c r="M38" s="1"/>
      <c r="N38" s="1"/>
      <c r="O38" s="1"/>
      <c r="P38" s="1"/>
      <c r="Q38" s="1"/>
      <c r="R38" s="1"/>
      <c r="S38" s="1"/>
      <c r="T38" s="1"/>
    </row>
    <row r="39" spans="1:20" ht="25.25" customHeight="1" x14ac:dyDescent="0.2">
      <c r="A39" s="1"/>
      <c r="B39" s="1"/>
      <c r="C39" s="1"/>
      <c r="D39" s="1"/>
      <c r="E39" s="1"/>
      <c r="F39" s="1"/>
      <c r="G39" s="1"/>
      <c r="H39" s="1"/>
      <c r="I39" s="15" t="s">
        <v>59</v>
      </c>
      <c r="J39" s="15" t="s">
        <v>60</v>
      </c>
      <c r="K39" s="15">
        <v>3</v>
      </c>
      <c r="L39" s="45" t="s">
        <v>210</v>
      </c>
      <c r="M39" s="1"/>
      <c r="N39" s="1"/>
      <c r="O39" s="1"/>
      <c r="P39" s="1"/>
      <c r="Q39" s="1"/>
      <c r="R39" s="1"/>
      <c r="S39" s="1"/>
      <c r="T39" s="1"/>
    </row>
    <row r="40" spans="1:20" ht="25.25" customHeight="1" x14ac:dyDescent="0.2">
      <c r="A40" s="1"/>
      <c r="B40" s="1"/>
      <c r="C40" s="1"/>
      <c r="D40" s="1"/>
      <c r="E40" s="1"/>
      <c r="F40" s="1"/>
      <c r="G40" s="1"/>
      <c r="H40" s="1"/>
      <c r="I40" s="15" t="s">
        <v>64</v>
      </c>
      <c r="J40" s="15" t="s">
        <v>65</v>
      </c>
      <c r="K40" s="15">
        <v>3</v>
      </c>
      <c r="L40" s="45" t="s">
        <v>211</v>
      </c>
      <c r="M40" s="1"/>
      <c r="N40" s="1"/>
      <c r="O40" s="1"/>
      <c r="P40" s="1"/>
      <c r="Q40" s="1"/>
      <c r="R40" s="1"/>
      <c r="S40" s="1"/>
      <c r="T40" s="1"/>
    </row>
    <row r="41" spans="1:20" ht="25.25" customHeight="1" x14ac:dyDescent="0.2">
      <c r="A41" s="1"/>
      <c r="B41" s="1"/>
      <c r="C41" s="1"/>
      <c r="D41" s="1"/>
      <c r="E41" s="1"/>
      <c r="F41" s="1"/>
      <c r="G41" s="1"/>
      <c r="H41" s="1"/>
      <c r="I41" s="15" t="s">
        <v>21</v>
      </c>
      <c r="J41" s="15" t="s">
        <v>170</v>
      </c>
      <c r="K41" s="15">
        <v>4</v>
      </c>
      <c r="L41" s="45" t="s">
        <v>180</v>
      </c>
      <c r="M41" s="1"/>
      <c r="N41" s="1"/>
      <c r="O41" s="1"/>
      <c r="P41" s="1"/>
      <c r="Q41" s="1"/>
      <c r="R41" s="1"/>
      <c r="S41" s="1"/>
      <c r="T41" s="1"/>
    </row>
    <row r="42" spans="1:20" ht="25.25" customHeight="1" x14ac:dyDescent="0.2">
      <c r="A42" s="1"/>
      <c r="B42" s="1"/>
      <c r="C42" s="1"/>
      <c r="D42" s="1"/>
      <c r="E42" s="1"/>
      <c r="F42" s="1"/>
      <c r="G42" s="1"/>
      <c r="H42" s="1"/>
      <c r="I42" s="15" t="s">
        <v>198</v>
      </c>
      <c r="J42" s="15" t="s">
        <v>199</v>
      </c>
      <c r="K42" s="15">
        <v>1</v>
      </c>
      <c r="L42" s="45" t="s">
        <v>211</v>
      </c>
      <c r="M42" s="1"/>
      <c r="N42" s="1"/>
      <c r="O42" s="1"/>
      <c r="P42" s="1"/>
      <c r="Q42" s="1"/>
      <c r="R42" s="1"/>
      <c r="S42" s="1"/>
      <c r="T42" s="1"/>
    </row>
    <row r="43" spans="1:20" ht="25.25" customHeight="1" x14ac:dyDescent="0.2">
      <c r="A43" s="1"/>
      <c r="B43" s="1"/>
      <c r="C43" s="1"/>
      <c r="D43" s="1"/>
      <c r="E43" s="1"/>
      <c r="F43" s="1"/>
      <c r="G43" s="1"/>
      <c r="H43" s="1"/>
      <c r="I43" s="15" t="s">
        <v>143</v>
      </c>
      <c r="J43" s="15" t="s">
        <v>41</v>
      </c>
      <c r="K43" s="15">
        <v>1</v>
      </c>
      <c r="L43" s="45" t="s">
        <v>210</v>
      </c>
      <c r="M43" s="1"/>
      <c r="N43" s="1"/>
      <c r="O43" s="1"/>
      <c r="P43" s="1"/>
      <c r="Q43" s="1"/>
      <c r="R43" s="1"/>
      <c r="S43" s="1"/>
      <c r="T43" s="1"/>
    </row>
    <row r="44" spans="1:20" ht="25.25" customHeight="1" x14ac:dyDescent="0.2">
      <c r="A44" s="1"/>
      <c r="B44" s="1"/>
      <c r="C44" s="1"/>
      <c r="D44" s="1"/>
      <c r="E44" s="1"/>
      <c r="F44" s="1"/>
      <c r="G44" s="1"/>
      <c r="H44" s="1"/>
      <c r="I44" s="15" t="s">
        <v>200</v>
      </c>
      <c r="J44" s="15" t="s">
        <v>201</v>
      </c>
      <c r="K44" s="15">
        <v>3</v>
      </c>
      <c r="L44" s="46" t="s">
        <v>186</v>
      </c>
      <c r="M44" s="1"/>
      <c r="N44" s="1"/>
      <c r="O44" s="1"/>
      <c r="P44" s="1"/>
      <c r="Q44" s="1"/>
      <c r="R44" s="1"/>
      <c r="S44" s="1"/>
      <c r="T44" s="1"/>
    </row>
    <row r="45" spans="1:20" ht="25.25" customHeight="1" x14ac:dyDescent="0.2">
      <c r="A45" s="1"/>
      <c r="B45" s="1"/>
      <c r="C45" s="1"/>
      <c r="D45" s="1"/>
      <c r="E45" s="1"/>
      <c r="F45" s="1"/>
      <c r="G45" s="1"/>
      <c r="H45" s="1"/>
      <c r="I45" s="45" t="s">
        <v>211</v>
      </c>
      <c r="J45" s="20"/>
      <c r="K45" s="20">
        <v>3</v>
      </c>
      <c r="L45" s="46"/>
      <c r="M45" s="1"/>
      <c r="N45" s="1"/>
      <c r="O45" s="1"/>
      <c r="P45" s="1"/>
      <c r="Q45" s="1"/>
      <c r="R45" s="1"/>
      <c r="S45" s="1"/>
      <c r="T45" s="1"/>
    </row>
    <row r="46" spans="1:20" ht="25.2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25.2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25.2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25.2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25.2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25.2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25.2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25.2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25.2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25.2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25.2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25.2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25.2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25.2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25.2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25.2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25.2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25.2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25.2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25.2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25.2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25.2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25.2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25.2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25.2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25.2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25.2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25.2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25.2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25.2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25.2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25.2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25.2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25.2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25.2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25.2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25.2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25.2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25.2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25.2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25.2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25.2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25.2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25.2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25.2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25.2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25.2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25.2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25.2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25.2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25.2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25.2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25.2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25.2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25.2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25.2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25.2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25.2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25.2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25.2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25.2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25.2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25.2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25.2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25.2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25.2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25.2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25.2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25.2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25.2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25.2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25.2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25.2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25.2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25.2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25.2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25.2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25.2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25.2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25.2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25.2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25.2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25.2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25.2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25.2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25.2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25.2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25.2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25.2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25.2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25.2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25.2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25.2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25.2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25.2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25.2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25.2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25.2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25.2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25.2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25.2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25.2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25.2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25.2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25.2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25.2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25.2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25.2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25.2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25.2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25.2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25.2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25.2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25.2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25.2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25.2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25.2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25.2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25.2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25.2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25.2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25.2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25.2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25.2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25.2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25.2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25.2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25.2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25.2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25.2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25.2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25.2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25.2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25.2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25.2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25.2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25.2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25.2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25.2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25.2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25.2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25.2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25.2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25.2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25.2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25.2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25.2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25.2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25.2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25.2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25.2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25.2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25.2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25.2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25.2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25.2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25.2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25.2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25.2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25.2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25.2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25.2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25.2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25.2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25.2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25.2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25.2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25.2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25.2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25.2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25.2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25.2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25.2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25.2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25.2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25.2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25.2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25.2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25.2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25.2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25.2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25.2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25.2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25.2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25.2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25.2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25.2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25.2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25.2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25.2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25.2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25.2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25.2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25.2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25.2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25.2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25.2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25.2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25.2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25.2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25.2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25.2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25.2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25.2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25.2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25.2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25.2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25.2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25.2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25.2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25.2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25.2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25.2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25.2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ht="25.2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ht="25.2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ht="25.2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ht="25.2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ht="25.2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25.2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ht="25.2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ht="25.2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ht="25.2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25.2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ht="25.2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ht="25.2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ht="25.2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ht="25.2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ht="25.2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ht="25.2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ht="25.2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25.2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ht="25.2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25.2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25.2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25.2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25.2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25.2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25.2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25.2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25.2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25.2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25.2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25.2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25.2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t="25.2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25.2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ht="25.2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ht="25.2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ht="25.2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ht="25.2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ht="25.2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ht="25.2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ht="25.2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ht="25.2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ht="25.2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ht="25.2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ht="25.2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ht="25.2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ht="25.2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ht="25.2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ht="25.2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ht="25.2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ht="25.2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ht="25.2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ht="25.2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ht="25.2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ht="25.2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ht="25.2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ht="25.2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ht="25.2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ht="25.2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ht="25.2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ht="25.2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25.2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ht="25.2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ht="25.2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ht="25.2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ht="25.2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25.2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ht="25.2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ht="25.2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ht="25.2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ht="25.2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ht="25.2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ht="25.2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ht="25.2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ht="25.2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ht="25.2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ht="25.2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ht="25.2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ht="25.2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ht="25.2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ht="25.2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ht="25.2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ht="25.2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ht="25.2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ht="25.2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ht="25.2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ht="25.2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ht="25.2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ht="25.2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ht="25.2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ht="25.2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ht="25.2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ht="25.2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ht="25.2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ht="25.2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ht="25.2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ht="25.2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ht="25.2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ht="25.2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ht="25.2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ht="25.2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ht="25.2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ht="25.2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ht="25.2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ht="25.2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ht="25.2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ht="25.2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ht="25.2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ht="25.2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ht="25.2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ht="25.2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ht="25.2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ht="25.2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ht="25.2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ht="25.2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ht="25.2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ht="25.2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ht="25.2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ht="25.2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ht="25.2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ht="25.2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ht="25.2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ht="25.2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ht="25.2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ht="25.2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ht="25.2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ht="25.2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ht="25.2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ht="25.2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ht="25.2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ht="25.2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ht="25.2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ht="25.2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ht="25.2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ht="25.2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ht="25.2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ht="25.2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ht="25.2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ht="25.2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ht="25.2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ht="25.2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ht="25.2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ht="25.2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ht="25.2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ht="25.2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ht="25.2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ht="25.2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ht="25.2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ht="25.2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ht="25.2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ht="25.2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ht="25.2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ht="25.2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ht="25.2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ht="25.2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ht="25.2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ht="25.2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ht="25.2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ht="25.2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ht="25.2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ht="25.2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ht="25.2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ht="25.2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ht="25.2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ht="25.2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ht="25.2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ht="25.2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ht="25.2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ht="25.2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ht="25.2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ht="25.2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ht="25.2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ht="25.2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ht="25.2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ht="25.2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ht="25.2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ht="25.2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ht="25.2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ht="25.2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ht="25.2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ht="25.2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ht="25.2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ht="25.2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ht="25.2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ht="25.2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ht="25.2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ht="25.2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ht="25.2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ht="25.2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ht="25.2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ht="25.2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ht="25.2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ht="25.2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ht="25.2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ht="25.2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ht="25.2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ht="25.2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ht="25.2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ht="25.2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ht="25.2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ht="25.2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ht="25.2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ht="25.2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ht="25.2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ht="25.2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ht="25.2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ht="25.2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ht="25.2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ht="25.2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ht="25.2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ht="25.2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ht="25.2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ht="25.2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ht="25.2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ht="25.2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ht="25.2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ht="25.2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ht="25.2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ht="25.2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ht="25.2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ht="25.2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ht="25.2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ht="25.2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ht="25.2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ht="25.2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ht="25.2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ht="25.2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ht="25.2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ht="25.2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ht="25.2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ht="25.2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ht="25.2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ht="25.2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ht="25.2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ht="25.2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ht="25.2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ht="25.2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ht="25.2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ht="25.2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ht="25.2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ht="25.2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ht="25.2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ht="25.2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ht="25.2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ht="25.2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ht="25.2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ht="25.2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ht="25.2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ht="25.2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ht="25.2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ht="25.2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ht="25.2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ht="25.2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ht="25.2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ht="25.2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ht="25.2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ht="25.2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ht="25.2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ht="25.2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ht="25.2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ht="25.2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ht="25.2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ht="25.2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ht="25.2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ht="25.2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ht="25.2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ht="25.2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ht="25.2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ht="25.2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ht="25.2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ht="25.2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ht="25.2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ht="25.2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ht="25.2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ht="25.2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ht="25.2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ht="25.2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ht="25.2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ht="25.2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ht="25.2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ht="25.2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ht="25.2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ht="25.2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ht="25.2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ht="25.2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ht="25.2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ht="25.2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ht="25.2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ht="25.2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ht="25.2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ht="25.2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ht="25.2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ht="25.2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ht="25.2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ht="25.2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ht="25.2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ht="25.2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ht="25.2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ht="25.2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ht="25.2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ht="25.2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ht="25.2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ht="25.2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ht="25.2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ht="25.2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ht="25.2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ht="25.2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ht="25.2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ht="25.2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ht="25.2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ht="25.2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ht="25.2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ht="25.2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ht="25.2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ht="25.2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ht="25.2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ht="25.2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ht="25.2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ht="25.2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ht="25.2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ht="25.2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ht="25.2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ht="25.2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ht="25.2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ht="25.2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ht="25.2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ht="25.2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ht="25.2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ht="25.2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ht="25.2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ht="25.2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ht="25.2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ht="25.2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ht="25.2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ht="25.2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ht="25.2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ht="25.2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ht="25.2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ht="25.2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ht="25.2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ht="25.2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ht="25.2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ht="25.2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ht="25.2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ht="25.2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ht="25.2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ht="25.2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ht="25.2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ht="25.2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ht="25.2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ht="25.2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ht="25.2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ht="25.2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ht="25.2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ht="25.2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ht="25.2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ht="25.2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ht="25.2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ht="25.2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ht="25.2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ht="25.2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ht="25.2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ht="25.2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ht="25.2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ht="25.2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ht="25.2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ht="25.2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ht="25.2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ht="25.2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ht="25.2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ht="25.2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ht="25.2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ht="25.2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ht="25.2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ht="25.2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ht="25.2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ht="25.2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ht="25.2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ht="25.2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ht="25.2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ht="25.2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ht="25.2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ht="25.2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ht="25.2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ht="25.2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ht="25.2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ht="25.2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ht="25.2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ht="25.2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ht="25.2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ht="25.2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ht="25.2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ht="25.2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ht="25.2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ht="25.2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ht="25.2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ht="25.2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ht="25.2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ht="25.2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ht="25.2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ht="25.2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ht="25.2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ht="25.2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ht="25.2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ht="25.2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ht="25.2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ht="25.2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ht="25.2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ht="25.2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ht="25.2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ht="25.2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ht="25.2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ht="25.2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ht="25.2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ht="25.2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ht="25.2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ht="25.2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ht="25.2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ht="25.2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ht="25.2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ht="25.2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ht="25.2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ht="25.2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ht="25.2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ht="25.2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ht="25.2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ht="25.2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ht="25.2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ht="25.2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ht="25.2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ht="25.2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ht="25.2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ht="25.2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ht="25.2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ht="25.2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ht="25.2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ht="25.2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ht="25.2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ht="25.2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ht="25.2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ht="25.2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ht="25.2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ht="25.2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ht="25.2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ht="25.2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ht="25.2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ht="25.2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ht="25.2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ht="25.2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ht="25.2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ht="25.2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ht="25.2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ht="25.2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ht="25.2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ht="25.2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ht="25.2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ht="25.2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ht="25.2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ht="25.2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ht="25.2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ht="25.2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ht="25.2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ht="25.2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ht="25.2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ht="25.2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ht="25.2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ht="25.2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ht="25.2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ht="25.2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ht="25.2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ht="25.2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ht="25.2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ht="25.2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ht="25.2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ht="25.2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ht="25.2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ht="25.2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ht="25.2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ht="25.2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ht="25.2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ht="25.2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ht="25.2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ht="25.2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ht="25.2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ht="25.2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ht="25.2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ht="25.2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ht="25.2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ht="25.2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ht="25.2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ht="25.2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ht="25.2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ht="25.2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ht="25.2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ht="25.2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ht="25.2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ht="25.2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ht="25.2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ht="25.2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ht="25.2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ht="25.2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ht="25.2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ht="25.2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ht="25.2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ht="25.2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ht="25.2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ht="25.2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ht="25.2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ht="25.2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ht="25.2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ht="25.2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ht="25.2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ht="25.2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ht="25.2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ht="25.2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ht="25.2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ht="25.2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ht="25.2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ht="25.2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ht="25.2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ht="25.2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ht="25.2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ht="25.2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ht="25.2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ht="25.2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ht="25.2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ht="25.2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ht="25.2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ht="25.2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ht="25.2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ht="25.2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ht="25.2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ht="25.2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ht="25.2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ht="25.2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ht="25.2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ht="25.2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ht="25.2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ht="25.2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ht="25.2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ht="25.2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ht="25.2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ht="25.2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ht="25.2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ht="25.2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ht="25.2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ht="25.2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ht="25.2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ht="25.2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ht="25.2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ht="25.2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ht="25.2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ht="25.2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ht="25.2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ht="25.2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ht="25.2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ht="25.2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ht="25.2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ht="25.2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ht="25.2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ht="25.2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ht="25.2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ht="25.2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ht="25.2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ht="25.2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ht="25.2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ht="25.2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ht="25.2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ht="25.2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ht="25.2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ht="25.2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ht="25.2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ht="25.2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ht="25.2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ht="25.2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ht="25.2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ht="25.2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ht="25.2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ht="25.2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ht="25.2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ht="25.2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ht="25.2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ht="25.2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ht="25.2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ht="25.2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ht="25.2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ht="25.2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ht="25.2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ht="25.2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ht="25.2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ht="25.2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ht="25.2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ht="25.2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ht="25.2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ht="25.2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ht="25.2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ht="25.2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ht="25.2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ht="25.2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ht="25.2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ht="25.2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ht="25.2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ht="25.2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ht="25.2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ht="25.2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ht="25.2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ht="25.2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ht="25.2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ht="25.2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ht="25.2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ht="25.2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ht="25.2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ht="25.2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ht="25.2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ht="25.2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ht="25.2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ht="25.2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ht="25.2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ht="25.2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ht="25.2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ht="25.2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ht="25.2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ht="25.2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ht="25.2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ht="25.2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ht="25.2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ht="25.2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ht="25.2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ht="25.2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ht="25.2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ht="25.2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ht="25.2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ht="25.2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ht="25.2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ht="25.2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ht="25.2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ht="25.2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ht="25.2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ht="25.2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ht="25.2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ht="25.2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ht="25.2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ht="25.2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ht="25.2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ht="25.2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ht="25.2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ht="25.2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ht="25.2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ht="25.2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ht="25.2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ht="25.2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ht="25.2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ht="25.2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ht="25.2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ht="25.2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ht="25.2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ht="25.2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ht="25.2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ht="25.2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ht="25.2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ht="25.2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ht="25.2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ht="25.2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ht="25.2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ht="25.2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ht="25.2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ht="25.2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ht="25.2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ht="25.2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ht="25.2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ht="25.2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ht="25.2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ht="25.2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ht="25.2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ht="25.2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ht="25.2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ht="25.2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ht="25.2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ht="25.2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ht="25.2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ht="25.2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ht="25.2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ht="25.2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ht="25.2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ht="25.2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ht="25.2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ht="25.2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ht="25.2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ht="25.2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ht="25.2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ht="25.2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ht="25.2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ht="25.2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ht="25.2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ht="25.2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ht="25.2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ht="25.2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ht="25.2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ht="25.2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ht="25.2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ht="25.2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ht="25.2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ht="25.2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ht="25.2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ht="25.2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ht="25.2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ht="25.2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ht="25.2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ht="25.2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ht="25.2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ht="25.2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ht="25.2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ht="25.2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ht="25.2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ht="25.2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ht="25.2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ht="25.2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ht="25.2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ht="25.2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ht="25.2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ht="25.2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ht="25.2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ht="25.2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ht="25.2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ht="25.2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ht="25.2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ht="25.2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ht="25.2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ht="25.2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ht="25.2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ht="25.2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ht="25.2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ht="25.2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ht="25.2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 ht="25.2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ht="25.2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ht="25.2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</sheetData>
  <mergeCells count="19">
    <mergeCell ref="A1:G1"/>
    <mergeCell ref="E17:G17"/>
    <mergeCell ref="A2:C2"/>
    <mergeCell ref="E2:G2"/>
    <mergeCell ref="E8:G8"/>
    <mergeCell ref="A18:B18"/>
    <mergeCell ref="A24:B24"/>
    <mergeCell ref="A19:B19"/>
    <mergeCell ref="A20:B20"/>
    <mergeCell ref="A23:B23"/>
    <mergeCell ref="A21:B21"/>
    <mergeCell ref="A22:B22"/>
    <mergeCell ref="I25:J25"/>
    <mergeCell ref="I36:J36"/>
    <mergeCell ref="N2:O2"/>
    <mergeCell ref="N13:O13"/>
    <mergeCell ref="N25:O25"/>
    <mergeCell ref="I2:J2"/>
    <mergeCell ref="I13:J13"/>
  </mergeCells>
  <pageMargins left="0.7" right="0.7" top="0.75" bottom="0.75" header="0.3" footer="0.3"/>
  <pageSetup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3C1EB-B607-4E4C-A605-EC46FE507B90}">
  <sheetPr>
    <outlinePr summaryBelow="0" summaryRight="0"/>
  </sheetPr>
  <dimension ref="A1:P998"/>
  <sheetViews>
    <sheetView zoomScaleNormal="100" workbookViewId="0">
      <selection activeCell="M16" sqref="M16"/>
    </sheetView>
  </sheetViews>
  <sheetFormatPr baseColWidth="10" defaultColWidth="12.6640625" defaultRowHeight="25.25" customHeight="1" x14ac:dyDescent="0.2"/>
  <cols>
    <col min="1" max="1" width="12.6640625" style="2"/>
    <col min="2" max="2" width="40.6640625" style="2" customWidth="1"/>
    <col min="3" max="3" width="12.6640625" style="2"/>
    <col min="4" max="4" width="5.1640625" style="2" customWidth="1"/>
    <col min="5" max="16384" width="12.6640625" style="2"/>
  </cols>
  <sheetData>
    <row r="1" spans="1:16" ht="25.25" customHeight="1" x14ac:dyDescent="0.2">
      <c r="A1" s="58" t="s">
        <v>162</v>
      </c>
      <c r="B1" s="59"/>
      <c r="C1" s="60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5.25" customHeight="1" x14ac:dyDescent="0.2">
      <c r="A2" s="18" t="s">
        <v>0</v>
      </c>
      <c r="B2" s="18" t="s">
        <v>1</v>
      </c>
      <c r="C2" s="18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25.25" customHeight="1" x14ac:dyDescent="0.2">
      <c r="A3" s="5" t="s">
        <v>143</v>
      </c>
      <c r="B3" s="5" t="s">
        <v>41</v>
      </c>
      <c r="C3" s="5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25.25" customHeight="1" x14ac:dyDescent="0.2">
      <c r="A4" s="5" t="s">
        <v>44</v>
      </c>
      <c r="B4" s="5" t="s">
        <v>45</v>
      </c>
      <c r="C4" s="5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5.25" customHeight="1" x14ac:dyDescent="0.2">
      <c r="A5" s="5" t="s">
        <v>50</v>
      </c>
      <c r="B5" s="5" t="s">
        <v>51</v>
      </c>
      <c r="C5" s="5">
        <v>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5.25" customHeight="1" x14ac:dyDescent="0.2">
      <c r="A6" s="5" t="s">
        <v>54</v>
      </c>
      <c r="B6" s="5" t="s">
        <v>55</v>
      </c>
      <c r="C6" s="5">
        <v>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25.25" customHeight="1" x14ac:dyDescent="0.2">
      <c r="A7" s="5" t="s">
        <v>59</v>
      </c>
      <c r="B7" s="5" t="s">
        <v>60</v>
      </c>
      <c r="C7" s="5">
        <v>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25.25" customHeight="1" x14ac:dyDescent="0.2">
      <c r="A8" s="5" t="s">
        <v>64</v>
      </c>
      <c r="B8" s="5" t="s">
        <v>65</v>
      </c>
      <c r="C8" s="5">
        <v>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25.25" customHeight="1" x14ac:dyDescent="0.2">
      <c r="A9" s="5" t="s">
        <v>69</v>
      </c>
      <c r="B9" s="5" t="s">
        <v>70</v>
      </c>
      <c r="C9" s="5">
        <v>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25.25" customHeight="1" x14ac:dyDescent="0.2">
      <c r="A10" s="3" t="s">
        <v>74</v>
      </c>
      <c r="B10" s="3" t="s">
        <v>75</v>
      </c>
      <c r="C10" s="4">
        <v>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25.25" customHeight="1" x14ac:dyDescent="0.2">
      <c r="A11" s="21" t="s">
        <v>80</v>
      </c>
      <c r="B11" s="21" t="s">
        <v>81</v>
      </c>
      <c r="C11" s="22">
        <v>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25.25" customHeight="1" x14ac:dyDescent="0.2">
      <c r="A12" s="21" t="s">
        <v>85</v>
      </c>
      <c r="B12" s="21" t="s">
        <v>86</v>
      </c>
      <c r="C12" s="7">
        <v>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5.25" customHeight="1" x14ac:dyDescent="0.2">
      <c r="A13" s="5" t="s">
        <v>141</v>
      </c>
      <c r="B13" s="5" t="s">
        <v>142</v>
      </c>
      <c r="C13" s="5">
        <v>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25.25" customHeight="1" x14ac:dyDescent="0.2">
      <c r="A14" s="5" t="s">
        <v>144</v>
      </c>
      <c r="B14" s="5" t="s">
        <v>145</v>
      </c>
      <c r="C14" s="5">
        <v>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25.25" customHeight="1" x14ac:dyDescent="0.2">
      <c r="A15" s="5" t="s">
        <v>134</v>
      </c>
      <c r="B15" s="5" t="s">
        <v>135</v>
      </c>
      <c r="C15" s="5">
        <v>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25.25" customHeight="1" x14ac:dyDescent="0.2">
      <c r="A16" s="1"/>
      <c r="B16" s="1"/>
      <c r="C16" s="1">
        <f>SUM(C3:C15)</f>
        <v>36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25.2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25.2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25.2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25.2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25.2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25.2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25.2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25.2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25.2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25.2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25.2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25.2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25.2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25.2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25.2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25.2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25.2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25.2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25.2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25.2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25.2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25.2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25.2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25.2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25.2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25.2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25.2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25.2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25.2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25.2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25.2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25.2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25.2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25.2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25.2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25.2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25.2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25.2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25.2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25.2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25.2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25.2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25.2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25.2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25.2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25.2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25.2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25.2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25.2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25.2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25.2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25.2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25.2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25.2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25.2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25.2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25.2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25.2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25.2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25.2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25.2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25.2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25.2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25.2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25.2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25.2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25.2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25.2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25.2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25.2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25.2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25.2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25.2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25.2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25.2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25.2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25.2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25.2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25.2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25.2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25.2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25.2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25.2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25.2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25.2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25.2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25.2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25.2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25.2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25.2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25.2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25.2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25.2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25.2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25.2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25.2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25.2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25.2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25.2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25.2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25.2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25.2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25.2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25.2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25.2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25.2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25.2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25.2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25.2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25.2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25.2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25.2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25.2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25.2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25.2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25.2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25.2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25.2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25.2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25.2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25.2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25.2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25.2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25.2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25.2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25.2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25.2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25.2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25.2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25.2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25.2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25.2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25.2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25.2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25.2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25.2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25.2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25.2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25.2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25.2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25.2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25.2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25.2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25.2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25.2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25.2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25.2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25.2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25.2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25.2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25.2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25.2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25.2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25.2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25.2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25.2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25.2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25.2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25.2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25.2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25.2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25.2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25.2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25.2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25.2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25.2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25.2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25.2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25.2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25.2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25.2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25.2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25.2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25.2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25.2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25.2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25.2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25.2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25.2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25.2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25.2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25.2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25.2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25.2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25.2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25.2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25.2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25.2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25.2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25.2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25.2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25.2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25.2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25.2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25.2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25.2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25.2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25.2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25.2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25.2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25.2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25.2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25.2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25.2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25.2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25.2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25.2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25.2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25.2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25.2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25.2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25.2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25.2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25.2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25.2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25.2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25.2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25.2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25.2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25.2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25.2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25.2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25.2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25.2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25.2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25.2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25.2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25.2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25.2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25.2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25.2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25.2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25.2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25.2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25.2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25.2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25.2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25.2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25.2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25.2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25.2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25.2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25.2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25.2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25.2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25.2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25.2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25.2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25.2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25.2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25.2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25.2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25.2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25.2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25.2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25.2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25.2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25.2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25.2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25.2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25.2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25.2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ht="25.2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25.2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ht="25.2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ht="25.2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25.2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25.2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25.2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25.2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25.2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25.2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25.2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25.2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25.2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25.2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25.2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25.2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25.2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25.2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25.2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25.2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25.2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25.2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25.2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25.2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25.2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25.2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25.2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25.2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25.2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25.2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25.2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25.2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25.2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25.2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25.2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25.2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25.2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25.2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25.2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25.2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25.2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25.2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25.2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25.2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25.2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25.2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25.2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25.2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25.2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25.2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25.2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25.2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25.2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25.2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25.2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25.2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25.2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25.2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25.2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25.2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25.2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25.2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25.2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25.2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25.2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25.2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25.2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25.2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25.2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25.2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25.2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25.2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25.2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25.2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25.2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25.2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25.2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25.2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25.2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25.2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25.2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25.2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25.2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25.2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25.2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25.2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25.2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25.2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25.2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25.2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25.2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25.2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25.2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25.2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25.2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25.2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25.2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25.2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25.2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25.2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25.2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25.2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25.2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25.2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25.2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25.2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25.2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25.2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25.2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25.2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25.2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25.2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25.2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25.2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25.2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25.2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25.2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25.2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25.2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25.2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25.2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25.2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25.2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25.2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25.2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25.2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25.2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25.2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25.2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25.2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25.2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25.2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25.2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25.2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25.2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25.2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25.2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25.2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25.2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25.2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25.2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25.2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25.2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25.2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25.2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25.2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25.2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25.2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25.2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25.2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25.2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25.2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25.2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25.2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25.2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25.2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25.2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25.2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25.2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25.2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25.2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25.2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25.2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25.2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25.2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25.2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25.2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25.2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25.2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25.2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25.2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25.2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25.2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25.2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25.2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25.2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25.2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25.2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25.2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25.2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25.2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25.2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25.2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25.2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25.2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25.2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25.2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25.2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25.2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25.2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25.2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25.2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25.2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25.2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25.2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25.2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25.2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25.2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25.2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25.2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25.2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25.2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25.2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25.2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25.2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25.2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25.2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25.2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25.2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25.2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25.2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25.2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25.2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25.2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25.2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25.2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25.2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25.2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25.2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25.2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25.2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25.2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25.2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25.2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25.2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25.2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25.2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25.2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25.2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25.2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25.2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25.2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25.2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25.2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25.2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25.2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25.2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25.2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25.2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25.2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25.2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25.2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25.2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25.2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25.2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25.2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25.2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25.2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25.2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25.2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25.2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25.2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25.2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25.2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25.2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25.2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25.2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25.2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25.2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25.2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25.2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25.2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25.2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25.2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25.2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25.2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25.2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25.2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25.2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25.2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25.2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25.2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25.2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25.2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25.2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25.2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25.2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25.2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25.2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25.2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25.2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25.2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25.2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25.2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25.2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25.2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25.2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25.2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25.2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25.2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25.2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25.2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25.2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25.2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25.2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25.2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25.2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25.2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25.2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25.2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25.2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25.2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25.2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25.2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25.2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25.2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25.2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25.2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25.2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25.2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25.2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25.2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25.2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25.2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25.2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25.2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25.2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25.2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25.2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25.2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25.2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25.2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25.2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25.2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25.2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25.2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25.2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25.2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25.2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25.2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25.2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25.2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25.2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25.2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25.2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25.2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25.2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25.2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25.2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25.2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25.2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25.2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25.2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25.2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25.2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25.2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25.2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25.2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25.2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25.2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25.2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25.2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25.2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25.2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25.2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25.2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25.2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25.2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25.2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25.2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25.2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25.2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25.2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25.2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25.2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25.2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25.2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25.2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25.2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25.2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25.2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25.2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25.2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25.2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25.2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25.2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25.2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25.2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25.2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25.2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25.2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25.2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25.2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25.2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25.2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25.2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25.2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25.2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25.2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25.2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25.2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25.2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25.2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25.2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25.2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25.2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25.2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25.2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25.2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25.2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25.2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25.2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25.2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25.2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25.2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25.2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25.2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25.2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25.2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25.2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25.2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25.2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25.2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25.2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25.2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25.2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25.2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25.2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25.2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25.2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25.2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25.2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25.2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25.2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25.2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25.2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25.2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25.2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25.2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25.2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25.2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25.2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25.2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25.2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25.2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25.2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25.2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25.2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25.2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25.2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25.2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25.2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25.2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25.2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25.2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25.2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25.2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25.2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25.2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25.2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25.2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25.2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25.2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25.2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25.2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25.2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25.2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25.2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25.2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25.2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25.2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25.2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25.2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25.2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25.2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25.2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25.2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25.2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25.2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25.2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25.2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25.2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25.2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25.2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25.2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25.2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25.2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25.2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25.2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25.2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25.2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25.2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25.2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25.2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25.2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25.2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25.2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25.2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25.2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25.2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25.2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25.2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25.2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25.2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25.2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25.2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25.2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25.2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25.2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25.2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25.2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25.2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25.2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25.2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25.2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25.2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25.2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25.2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25.2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25.2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25.2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25.2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25.2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25.2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25.2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25.2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25.2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25.2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25.2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25.2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25.2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25.2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25.2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25.2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25.2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25.2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25.2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25.2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25.2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25.2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25.2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25.2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25.2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25.2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25.2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25.2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25.2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25.2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25.2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25.2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25.2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25.2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25.2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25.2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25.2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25.2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25.2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25.2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25.2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25.2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25.2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25.2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25.2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25.2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25.2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25.2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25.2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25.2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25.2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25.2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25.2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25.2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25.2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25.2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25.2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25.2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25.2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25.2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25.2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25.2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25.2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25.2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25.2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25.2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25.2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25.2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25.2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25.2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25.2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25.2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25.2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25.2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25.2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25.2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25.2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25.2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25.2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25.2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25.2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25.2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25.2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25.2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25.2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25.2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25.2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25.2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25.2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25.2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25.2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25.2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25.2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25.2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25.2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25.2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25.2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25.2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25.2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25.2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25.2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25.2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25.2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25.2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25.2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25.2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25.2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25.2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25.2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25.2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25.2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25.2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25.2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25.2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25.2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25.2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25.2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25.2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25.2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25.2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25.2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25.2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25.2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25.2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25.2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25.2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25.2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25.2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25.2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25.2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25.2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25.2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25.2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25.2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25.2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25.2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25.2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25.2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25.2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25.2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25.2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25.2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25.2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25.2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25.2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25.2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25.2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25.2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ht="25.2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ht="25.2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ht="25.2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ht="25.2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ht="25.2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ht="25.2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ht="25.2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ht="25.2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ht="25.2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ht="25.2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ht="25.2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ht="25.2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ht="25.2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ht="25.2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ht="25.2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ht="25.2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ht="25.2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ht="25.2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ht="25.2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ht="25.2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ht="25.2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ht="25.2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ht="25.2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ht="25.2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ht="25.2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ht="25.2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ht="25.2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ht="25.2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ht="25.2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ht="25.2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ht="25.2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 ht="25.2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ht="25.2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 ht="25.2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 ht="25.2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 ht="25.2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ht="25.2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 ht="25.2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 ht="25.2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 ht="25.2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 ht="25.2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ht="25.2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 ht="25.2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 ht="25.2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 ht="25.2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 ht="25.2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 ht="25.2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 ht="25.2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 ht="25.2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 ht="25.2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 ht="25.2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 ht="25.2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 ht="25.2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 ht="25.2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 ht="25.2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 ht="25.2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 ht="25.2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 ht="25.2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 ht="25.2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 ht="25.2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 ht="25.2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 ht="25.2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 ht="25.2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 ht="25.2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S997"/>
  <sheetViews>
    <sheetView topLeftCell="A10" zoomScale="90" zoomScaleNormal="90" workbookViewId="0">
      <selection activeCell="E33" sqref="E33:G33"/>
    </sheetView>
  </sheetViews>
  <sheetFormatPr baseColWidth="10" defaultColWidth="12.6640625" defaultRowHeight="25.25" customHeight="1" x14ac:dyDescent="0.2"/>
  <cols>
    <col min="1" max="1" width="12.6640625" style="2"/>
    <col min="2" max="2" width="40.6640625" style="2" customWidth="1"/>
    <col min="3" max="3" width="12.6640625" style="2"/>
    <col min="4" max="4" width="5.1640625" style="2" customWidth="1"/>
    <col min="5" max="5" width="12.6640625" style="2"/>
    <col min="6" max="6" width="51.6640625" style="2" customWidth="1"/>
    <col min="7" max="7" width="12.6640625" style="2"/>
    <col min="8" max="8" width="5.1640625" style="2" customWidth="1"/>
    <col min="9" max="9" width="12.6640625" style="2"/>
    <col min="10" max="10" width="41.6640625" style="2" customWidth="1"/>
    <col min="11" max="16384" width="12.6640625" style="2"/>
  </cols>
  <sheetData>
    <row r="1" spans="1:19" ht="25.25" customHeight="1" thickBot="1" x14ac:dyDescent="0.25">
      <c r="A1" s="54" t="s">
        <v>215</v>
      </c>
      <c r="B1" s="54"/>
      <c r="C1" s="54"/>
      <c r="D1" s="54"/>
      <c r="E1" s="54"/>
      <c r="F1" s="54"/>
      <c r="G1" s="54"/>
    </row>
    <row r="2" spans="1:19" ht="25.25" customHeight="1" thickTop="1" x14ac:dyDescent="0.2">
      <c r="A2" s="61" t="s">
        <v>162</v>
      </c>
      <c r="B2" s="61"/>
      <c r="C2" s="49" t="s">
        <v>2</v>
      </c>
      <c r="D2" s="1"/>
      <c r="E2" s="62" t="s">
        <v>159</v>
      </c>
      <c r="F2" s="63"/>
      <c r="G2" s="49" t="s">
        <v>2</v>
      </c>
      <c r="H2" s="1"/>
      <c r="I2" s="50" t="s">
        <v>176</v>
      </c>
      <c r="J2" s="50"/>
      <c r="K2" s="30" t="s">
        <v>2</v>
      </c>
      <c r="L2" s="1"/>
      <c r="M2" s="1"/>
      <c r="N2" s="1"/>
      <c r="O2" s="1"/>
      <c r="P2" s="1"/>
      <c r="Q2" s="1"/>
      <c r="R2" s="1"/>
      <c r="S2" s="1"/>
    </row>
    <row r="3" spans="1:19" ht="25.25" customHeight="1" x14ac:dyDescent="0.2">
      <c r="A3" s="34" t="s">
        <v>0</v>
      </c>
      <c r="B3" s="29" t="s">
        <v>1</v>
      </c>
      <c r="C3" s="31">
        <f>SUM(C4:C26)</f>
        <v>36</v>
      </c>
      <c r="D3" s="1"/>
      <c r="E3" s="33" t="s">
        <v>0</v>
      </c>
      <c r="F3" s="19" t="s">
        <v>1</v>
      </c>
      <c r="G3" s="32">
        <f>SUM(G4:G26)</f>
        <v>69</v>
      </c>
      <c r="H3" s="12"/>
      <c r="I3" s="34" t="s">
        <v>0</v>
      </c>
      <c r="J3" s="29" t="s">
        <v>1</v>
      </c>
      <c r="K3" s="31">
        <f>SUM(K4:K11)</f>
        <v>21</v>
      </c>
      <c r="L3" s="1"/>
      <c r="M3" s="1"/>
      <c r="N3" s="1"/>
      <c r="O3" s="1"/>
      <c r="P3" s="1"/>
      <c r="Q3" s="1"/>
      <c r="R3" s="1"/>
      <c r="S3" s="1"/>
    </row>
    <row r="4" spans="1:19" ht="25.25" customHeight="1" x14ac:dyDescent="0.2">
      <c r="A4" s="5" t="s">
        <v>44</v>
      </c>
      <c r="B4" s="5" t="s">
        <v>45</v>
      </c>
      <c r="C4" s="5">
        <v>3</v>
      </c>
      <c r="D4" s="1"/>
      <c r="E4" s="5" t="s">
        <v>46</v>
      </c>
      <c r="F4" s="5" t="s">
        <v>47</v>
      </c>
      <c r="G4" s="5">
        <v>3</v>
      </c>
      <c r="H4" s="1"/>
      <c r="I4" s="15" t="s">
        <v>161</v>
      </c>
      <c r="J4" s="15" t="s">
        <v>63</v>
      </c>
      <c r="K4" s="15">
        <v>3</v>
      </c>
      <c r="L4" s="1"/>
      <c r="M4" s="1"/>
      <c r="N4" s="1"/>
      <c r="O4" s="1"/>
      <c r="P4" s="1"/>
      <c r="Q4" s="1"/>
      <c r="R4" s="1"/>
      <c r="S4" s="1"/>
    </row>
    <row r="5" spans="1:19" ht="25.25" customHeight="1" x14ac:dyDescent="0.2">
      <c r="A5" s="5" t="s">
        <v>87</v>
      </c>
      <c r="B5" s="5" t="s">
        <v>66</v>
      </c>
      <c r="C5" s="5">
        <v>3</v>
      </c>
      <c r="D5" s="1"/>
      <c r="E5" s="5" t="s">
        <v>50</v>
      </c>
      <c r="F5" s="5" t="s">
        <v>51</v>
      </c>
      <c r="G5" s="5">
        <v>3</v>
      </c>
      <c r="H5" s="1"/>
      <c r="I5" s="5" t="s">
        <v>87</v>
      </c>
      <c r="J5" s="5" t="s">
        <v>66</v>
      </c>
      <c r="K5" s="5">
        <v>3</v>
      </c>
      <c r="L5" s="1"/>
      <c r="M5" s="1"/>
      <c r="N5" s="1"/>
      <c r="O5" s="1"/>
      <c r="P5" s="1"/>
      <c r="Q5" s="1"/>
      <c r="R5" s="1"/>
      <c r="S5" s="1"/>
    </row>
    <row r="6" spans="1:19" ht="25.25" customHeight="1" x14ac:dyDescent="0.2">
      <c r="A6" s="5" t="s">
        <v>59</v>
      </c>
      <c r="B6" s="5" t="s">
        <v>60</v>
      </c>
      <c r="C6" s="5">
        <v>3</v>
      </c>
      <c r="D6" s="1"/>
      <c r="E6" s="5" t="s">
        <v>61</v>
      </c>
      <c r="F6" s="5" t="s">
        <v>62</v>
      </c>
      <c r="G6" s="5">
        <v>3</v>
      </c>
      <c r="H6" s="1"/>
      <c r="I6" s="15" t="s">
        <v>226</v>
      </c>
      <c r="J6" s="15" t="s">
        <v>225</v>
      </c>
      <c r="K6" s="15">
        <v>3</v>
      </c>
      <c r="L6" s="1"/>
      <c r="M6" s="1"/>
      <c r="N6" s="1"/>
      <c r="O6" s="1"/>
      <c r="P6" s="1"/>
      <c r="Q6" s="1"/>
      <c r="R6" s="1"/>
      <c r="S6" s="1"/>
    </row>
    <row r="7" spans="1:19" ht="25.25" customHeight="1" x14ac:dyDescent="0.2">
      <c r="A7" s="5" t="s">
        <v>64</v>
      </c>
      <c r="B7" s="5" t="s">
        <v>65</v>
      </c>
      <c r="C7" s="5">
        <v>3</v>
      </c>
      <c r="D7" s="1"/>
      <c r="E7" s="14" t="s">
        <v>82</v>
      </c>
      <c r="F7" s="14" t="s">
        <v>83</v>
      </c>
      <c r="G7" s="14">
        <v>4</v>
      </c>
      <c r="H7" s="1"/>
      <c r="I7" s="5" t="s">
        <v>52</v>
      </c>
      <c r="J7" s="5" t="s">
        <v>53</v>
      </c>
      <c r="K7" s="5">
        <v>3</v>
      </c>
      <c r="L7" s="1"/>
      <c r="M7" s="1"/>
      <c r="N7" s="1"/>
      <c r="O7" s="1"/>
      <c r="P7" s="1"/>
      <c r="Q7" s="1"/>
      <c r="R7" s="1"/>
      <c r="S7" s="1"/>
    </row>
    <row r="8" spans="1:19" ht="25.25" customHeight="1" x14ac:dyDescent="0.2">
      <c r="A8" s="5" t="s">
        <v>134</v>
      </c>
      <c r="B8" s="5" t="s">
        <v>135</v>
      </c>
      <c r="C8" s="5">
        <v>4</v>
      </c>
      <c r="D8" s="1"/>
      <c r="E8" s="15" t="s">
        <v>124</v>
      </c>
      <c r="F8" s="15" t="s">
        <v>73</v>
      </c>
      <c r="G8" s="15">
        <v>3</v>
      </c>
      <c r="H8" s="1"/>
      <c r="I8" s="15" t="s">
        <v>180</v>
      </c>
      <c r="J8" s="15"/>
      <c r="K8" s="15">
        <v>3</v>
      </c>
      <c r="L8" s="1"/>
      <c r="M8" s="1"/>
      <c r="N8" s="1"/>
      <c r="O8" s="1"/>
      <c r="P8" s="1"/>
      <c r="Q8" s="1"/>
      <c r="R8" s="1"/>
      <c r="S8" s="1"/>
    </row>
    <row r="9" spans="1:19" ht="25.25" customHeight="1" x14ac:dyDescent="0.2">
      <c r="A9" s="15" t="s">
        <v>226</v>
      </c>
      <c r="B9" s="15" t="s">
        <v>225</v>
      </c>
      <c r="C9" s="15">
        <v>3</v>
      </c>
      <c r="D9" s="1"/>
      <c r="E9" s="15" t="s">
        <v>78</v>
      </c>
      <c r="F9" s="15" t="s">
        <v>79</v>
      </c>
      <c r="G9" s="15">
        <v>3</v>
      </c>
      <c r="H9" s="1"/>
      <c r="I9" s="15" t="s">
        <v>180</v>
      </c>
      <c r="J9" s="15"/>
      <c r="K9" s="15">
        <v>3</v>
      </c>
      <c r="L9" s="1"/>
      <c r="M9" s="1"/>
      <c r="N9" s="1"/>
      <c r="O9" s="1"/>
      <c r="P9" s="1"/>
      <c r="Q9" s="1"/>
      <c r="R9" s="1"/>
      <c r="S9" s="1"/>
    </row>
    <row r="10" spans="1:19" ht="25.25" customHeight="1" x14ac:dyDescent="0.2">
      <c r="A10" s="5" t="s">
        <v>52</v>
      </c>
      <c r="B10" s="5" t="s">
        <v>53</v>
      </c>
      <c r="C10" s="5">
        <v>3</v>
      </c>
      <c r="D10" s="1"/>
      <c r="E10" s="5" t="s">
        <v>76</v>
      </c>
      <c r="F10" s="5" t="s">
        <v>77</v>
      </c>
      <c r="G10" s="5">
        <v>3</v>
      </c>
      <c r="H10" s="1"/>
      <c r="I10" s="15" t="s">
        <v>180</v>
      </c>
      <c r="J10" s="15"/>
      <c r="K10" s="15">
        <v>3</v>
      </c>
      <c r="L10" s="1"/>
      <c r="M10" s="1"/>
      <c r="N10" s="1"/>
      <c r="O10" s="1"/>
      <c r="P10" s="1"/>
      <c r="Q10" s="1"/>
      <c r="R10" s="1"/>
      <c r="S10" s="1"/>
    </row>
    <row r="11" spans="1:19" ht="25.25" customHeight="1" x14ac:dyDescent="0.2">
      <c r="A11" s="5" t="s">
        <v>56</v>
      </c>
      <c r="B11" s="5" t="s">
        <v>57</v>
      </c>
      <c r="C11" s="5">
        <v>4</v>
      </c>
      <c r="D11" s="1"/>
      <c r="E11" s="15" t="s">
        <v>67</v>
      </c>
      <c r="F11" s="15" t="s">
        <v>68</v>
      </c>
      <c r="G11" s="15">
        <v>4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25.25" customHeight="1" x14ac:dyDescent="0.2">
      <c r="A12" s="5" t="s">
        <v>71</v>
      </c>
      <c r="B12" s="5" t="s">
        <v>72</v>
      </c>
      <c r="C12" s="5">
        <v>4</v>
      </c>
      <c r="D12" s="1"/>
      <c r="E12" s="5" t="s">
        <v>69</v>
      </c>
      <c r="F12" s="5" t="s">
        <v>70</v>
      </c>
      <c r="G12" s="5">
        <v>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25.25" customHeight="1" x14ac:dyDescent="0.2">
      <c r="A13" s="5" t="s">
        <v>127</v>
      </c>
      <c r="B13" s="5" t="s">
        <v>136</v>
      </c>
      <c r="C13" s="5">
        <v>3</v>
      </c>
      <c r="D13" s="1"/>
      <c r="E13" s="5" t="s">
        <v>74</v>
      </c>
      <c r="F13" s="3" t="s">
        <v>75</v>
      </c>
      <c r="G13" s="4">
        <v>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25.25" customHeight="1" x14ac:dyDescent="0.2">
      <c r="A14" s="15" t="s">
        <v>161</v>
      </c>
      <c r="B14" s="15" t="s">
        <v>63</v>
      </c>
      <c r="C14" s="15">
        <v>3</v>
      </c>
      <c r="D14" s="1"/>
      <c r="E14" s="5" t="s">
        <v>54</v>
      </c>
      <c r="F14" s="5" t="s">
        <v>55</v>
      </c>
      <c r="G14" s="5">
        <v>3</v>
      </c>
      <c r="H14" s="1"/>
      <c r="I14" s="50" t="s">
        <v>177</v>
      </c>
      <c r="J14" s="50"/>
      <c r="K14" s="30" t="s">
        <v>2</v>
      </c>
      <c r="L14" s="1"/>
      <c r="M14" s="1"/>
      <c r="N14" s="1"/>
      <c r="O14" s="1"/>
      <c r="P14" s="1"/>
      <c r="Q14" s="1"/>
      <c r="R14" s="1"/>
      <c r="S14" s="1"/>
    </row>
    <row r="15" spans="1:19" ht="25.25" customHeight="1" x14ac:dyDescent="0.2">
      <c r="D15" s="1"/>
      <c r="E15" s="15" t="s">
        <v>155</v>
      </c>
      <c r="F15" s="15" t="s">
        <v>156</v>
      </c>
      <c r="G15" s="15">
        <v>3</v>
      </c>
      <c r="H15" s="1"/>
      <c r="I15" s="34" t="s">
        <v>0</v>
      </c>
      <c r="J15" s="29" t="s">
        <v>1</v>
      </c>
      <c r="K15" s="31">
        <f>SUM(K16:K24)</f>
        <v>3</v>
      </c>
      <c r="L15" s="1"/>
      <c r="M15" s="1"/>
      <c r="N15" s="1"/>
      <c r="O15" s="1"/>
      <c r="P15" s="1"/>
      <c r="Q15" s="1"/>
      <c r="R15" s="1"/>
      <c r="S15" s="1"/>
    </row>
    <row r="16" spans="1:19" ht="25.25" customHeight="1" x14ac:dyDescent="0.2">
      <c r="D16" s="1"/>
      <c r="E16" s="15" t="s">
        <v>112</v>
      </c>
      <c r="F16" s="15" t="s">
        <v>113</v>
      </c>
      <c r="G16" s="15">
        <v>3</v>
      </c>
      <c r="H16" s="1"/>
      <c r="I16" s="5" t="s">
        <v>64</v>
      </c>
      <c r="J16" s="5" t="s">
        <v>65</v>
      </c>
      <c r="K16" s="5">
        <v>3</v>
      </c>
      <c r="L16" s="1"/>
      <c r="M16" s="1"/>
      <c r="N16" s="1"/>
      <c r="O16" s="1"/>
      <c r="P16" s="1"/>
      <c r="Q16" s="1"/>
      <c r="R16" s="1"/>
      <c r="S16" s="1"/>
    </row>
    <row r="17" spans="1:19" ht="25.25" customHeight="1" x14ac:dyDescent="0.2">
      <c r="D17" s="1"/>
      <c r="E17" s="15" t="s">
        <v>129</v>
      </c>
      <c r="F17" s="15" t="s">
        <v>130</v>
      </c>
      <c r="G17" s="15">
        <v>3</v>
      </c>
      <c r="H17" s="1"/>
      <c r="I17" s="15"/>
      <c r="J17" s="15"/>
      <c r="K17" s="15"/>
      <c r="L17" s="1"/>
      <c r="M17" s="1"/>
      <c r="N17" s="1"/>
      <c r="O17" s="1"/>
      <c r="P17" s="1"/>
      <c r="Q17" s="1"/>
      <c r="R17" s="1"/>
      <c r="S17" s="1"/>
    </row>
    <row r="18" spans="1:19" ht="25.25" customHeight="1" x14ac:dyDescent="0.2">
      <c r="A18" s="1"/>
      <c r="B18" s="1"/>
      <c r="C18" s="1"/>
      <c r="D18" s="1"/>
      <c r="E18" s="15" t="s">
        <v>152</v>
      </c>
      <c r="F18" s="15" t="s">
        <v>153</v>
      </c>
      <c r="G18" s="15">
        <v>3</v>
      </c>
      <c r="H18" s="1"/>
      <c r="I18" s="5"/>
      <c r="J18" s="5"/>
      <c r="K18" s="5"/>
      <c r="L18" s="1"/>
      <c r="M18" s="1"/>
      <c r="N18" s="1"/>
      <c r="O18" s="1"/>
      <c r="P18" s="1"/>
      <c r="Q18" s="1"/>
      <c r="R18" s="1"/>
      <c r="S18" s="1"/>
    </row>
    <row r="19" spans="1:19" ht="25.25" customHeight="1" x14ac:dyDescent="0.2">
      <c r="A19" s="1"/>
      <c r="B19" s="1"/>
      <c r="C19" s="1"/>
      <c r="D19" s="1"/>
      <c r="E19" s="15" t="s">
        <v>146</v>
      </c>
      <c r="F19" s="15" t="s">
        <v>147</v>
      </c>
      <c r="G19" s="15">
        <v>3</v>
      </c>
      <c r="H19" s="1"/>
      <c r="I19" s="15"/>
      <c r="J19" s="15"/>
      <c r="K19" s="15"/>
      <c r="L19" s="1"/>
      <c r="M19" s="1"/>
      <c r="N19" s="1"/>
      <c r="O19" s="1"/>
      <c r="P19" s="1"/>
      <c r="Q19" s="1"/>
      <c r="R19" s="1"/>
      <c r="S19" s="1"/>
    </row>
    <row r="20" spans="1:19" ht="25.25" customHeight="1" x14ac:dyDescent="0.2">
      <c r="A20" s="1"/>
      <c r="B20" s="1"/>
      <c r="C20" s="1"/>
      <c r="D20" s="1"/>
      <c r="E20" s="20" t="s">
        <v>125</v>
      </c>
      <c r="F20" s="20" t="s">
        <v>126</v>
      </c>
      <c r="G20" s="20">
        <v>3</v>
      </c>
      <c r="H20" s="1"/>
      <c r="I20" s="5"/>
      <c r="J20" s="5"/>
      <c r="K20" s="5"/>
      <c r="L20" s="1"/>
      <c r="M20" s="1"/>
      <c r="N20" s="1"/>
      <c r="O20" s="1"/>
      <c r="P20" s="1"/>
      <c r="Q20" s="1"/>
      <c r="R20" s="1"/>
      <c r="S20" s="1"/>
    </row>
    <row r="21" spans="1:19" ht="25.25" customHeight="1" x14ac:dyDescent="0.2">
      <c r="A21" s="1"/>
      <c r="B21" s="1"/>
      <c r="C21" s="1"/>
      <c r="D21" s="1"/>
      <c r="E21" s="20" t="s">
        <v>164</v>
      </c>
      <c r="F21" s="20" t="s">
        <v>163</v>
      </c>
      <c r="G21" s="20">
        <v>3</v>
      </c>
      <c r="H21" s="1"/>
      <c r="I21" s="15"/>
      <c r="J21" s="15"/>
      <c r="K21" s="15"/>
      <c r="L21" s="1"/>
      <c r="M21" s="1"/>
      <c r="N21" s="1"/>
      <c r="O21" s="1"/>
      <c r="P21" s="1"/>
      <c r="Q21" s="1"/>
      <c r="R21" s="1"/>
      <c r="S21" s="1"/>
    </row>
    <row r="22" spans="1:19" ht="25.25" customHeight="1" x14ac:dyDescent="0.2">
      <c r="A22" s="1"/>
      <c r="B22" s="1"/>
      <c r="C22" s="1"/>
      <c r="D22" s="1"/>
      <c r="E22" s="15" t="s">
        <v>223</v>
      </c>
      <c r="F22" s="15" t="s">
        <v>224</v>
      </c>
      <c r="G22" s="15">
        <v>3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25.25" customHeight="1" x14ac:dyDescent="0.2">
      <c r="A23" s="1"/>
      <c r="B23" s="1"/>
      <c r="C23" s="1"/>
      <c r="D23" s="1"/>
      <c r="E23" s="15" t="s">
        <v>85</v>
      </c>
      <c r="F23" s="15" t="s">
        <v>86</v>
      </c>
      <c r="G23" s="24">
        <v>3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25.25" customHeight="1" x14ac:dyDescent="0.2">
      <c r="A24" s="1"/>
      <c r="B24" s="1"/>
      <c r="C24" s="1"/>
      <c r="D24" s="1"/>
      <c r="E24" s="15" t="s">
        <v>191</v>
      </c>
      <c r="F24" s="15" t="s">
        <v>70</v>
      </c>
      <c r="G24" s="15">
        <v>3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25.25" customHeight="1" x14ac:dyDescent="0.2">
      <c r="A25" s="1"/>
      <c r="B25" s="1"/>
      <c r="C25" s="1"/>
      <c r="D25" s="1"/>
      <c r="E25" s="15" t="s">
        <v>143</v>
      </c>
      <c r="F25" s="15" t="s">
        <v>41</v>
      </c>
      <c r="G25" s="15">
        <v>1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25.25" customHeight="1" x14ac:dyDescent="0.2">
      <c r="A26" s="1"/>
      <c r="B26" s="1"/>
      <c r="C26" s="1"/>
      <c r="D26" s="1"/>
      <c r="E26" s="15" t="s">
        <v>219</v>
      </c>
      <c r="F26" s="15" t="s">
        <v>220</v>
      </c>
      <c r="G26" s="15">
        <v>3</v>
      </c>
      <c r="H26" s="1"/>
      <c r="I26" s="50" t="s">
        <v>178</v>
      </c>
      <c r="J26" s="50"/>
      <c r="K26" s="30" t="s">
        <v>2</v>
      </c>
      <c r="L26" s="1"/>
      <c r="M26" s="1"/>
      <c r="N26" s="1"/>
      <c r="O26" s="1"/>
      <c r="P26" s="1"/>
      <c r="Q26" s="1"/>
      <c r="R26" s="1"/>
      <c r="S26" s="1"/>
    </row>
    <row r="27" spans="1:19" ht="25.25" customHeight="1" x14ac:dyDescent="0.2">
      <c r="A27" s="1"/>
      <c r="B27" s="1"/>
      <c r="C27" s="1"/>
      <c r="D27" s="1"/>
      <c r="E27" s="15" t="s">
        <v>222</v>
      </c>
      <c r="F27" s="15" t="s">
        <v>221</v>
      </c>
      <c r="G27" s="15">
        <v>3</v>
      </c>
      <c r="H27" s="1"/>
      <c r="I27" s="34" t="s">
        <v>0</v>
      </c>
      <c r="J27" s="29" t="s">
        <v>1</v>
      </c>
      <c r="K27" s="31">
        <f>SUM(K28:K36)</f>
        <v>21</v>
      </c>
      <c r="L27" s="1"/>
      <c r="M27" s="1"/>
      <c r="N27" s="1"/>
      <c r="O27" s="1"/>
      <c r="P27" s="1"/>
      <c r="Q27" s="1"/>
      <c r="R27" s="1"/>
      <c r="S27" s="1"/>
    </row>
    <row r="28" spans="1:19" ht="25.25" customHeight="1" x14ac:dyDescent="0.2">
      <c r="A28" s="1"/>
      <c r="B28" s="1"/>
      <c r="C28" s="1"/>
      <c r="D28" s="1"/>
      <c r="E28" s="15" t="s">
        <v>198</v>
      </c>
      <c r="F28" s="15" t="s">
        <v>199</v>
      </c>
      <c r="G28" s="15">
        <v>1</v>
      </c>
      <c r="H28" s="1"/>
      <c r="I28" s="15" t="s">
        <v>180</v>
      </c>
      <c r="J28" s="15"/>
      <c r="K28" s="15">
        <v>3</v>
      </c>
      <c r="L28" s="1"/>
      <c r="M28" s="1"/>
      <c r="N28" s="1"/>
      <c r="O28" s="1"/>
      <c r="P28" s="1"/>
      <c r="Q28" s="1"/>
      <c r="R28" s="1"/>
      <c r="S28" s="1"/>
    </row>
    <row r="29" spans="1:19" ht="25.25" customHeight="1" x14ac:dyDescent="0.2">
      <c r="A29" s="1"/>
      <c r="B29" s="1"/>
      <c r="C29" s="1"/>
      <c r="D29" s="1"/>
      <c r="E29" s="1" t="s">
        <v>227</v>
      </c>
      <c r="F29" s="1" t="s">
        <v>228</v>
      </c>
      <c r="G29" s="1"/>
      <c r="H29" s="1"/>
      <c r="I29" s="15" t="s">
        <v>180</v>
      </c>
      <c r="J29" s="15"/>
      <c r="K29" s="15">
        <v>3</v>
      </c>
      <c r="L29" s="1"/>
      <c r="M29" s="1"/>
      <c r="N29" s="1"/>
      <c r="O29" s="1"/>
      <c r="P29" s="1"/>
      <c r="Q29" s="1"/>
      <c r="R29" s="1"/>
      <c r="S29" s="1"/>
    </row>
    <row r="30" spans="1:19" ht="25.25" customHeight="1" x14ac:dyDescent="0.2">
      <c r="A30" s="1"/>
      <c r="B30" s="1"/>
      <c r="C30" s="1"/>
      <c r="D30" s="1"/>
      <c r="E30" s="1" t="s">
        <v>229</v>
      </c>
      <c r="F30" s="1" t="s">
        <v>230</v>
      </c>
      <c r="G30" s="1"/>
      <c r="H30" s="1"/>
      <c r="I30" s="15" t="s">
        <v>56</v>
      </c>
      <c r="J30" s="15" t="s">
        <v>57</v>
      </c>
      <c r="K30" s="15">
        <v>4</v>
      </c>
      <c r="L30" s="1"/>
      <c r="M30" s="1"/>
      <c r="N30" s="1"/>
      <c r="O30" s="1"/>
      <c r="P30" s="1"/>
      <c r="Q30" s="1"/>
      <c r="R30" s="1"/>
      <c r="S30" s="1"/>
    </row>
    <row r="31" spans="1:19" ht="25.25" customHeight="1" x14ac:dyDescent="0.2">
      <c r="A31" s="1"/>
      <c r="B31" s="1"/>
      <c r="C31" s="1"/>
      <c r="D31" s="1"/>
      <c r="E31" s="1" t="s">
        <v>231</v>
      </c>
      <c r="F31" s="1" t="s">
        <v>232</v>
      </c>
      <c r="G31" s="1"/>
      <c r="H31" s="1"/>
      <c r="I31" s="20" t="s">
        <v>125</v>
      </c>
      <c r="J31" s="20" t="s">
        <v>126</v>
      </c>
      <c r="K31" s="20">
        <v>3</v>
      </c>
      <c r="L31" s="1"/>
      <c r="M31" s="1"/>
      <c r="N31" s="1"/>
      <c r="O31" s="1"/>
      <c r="P31" s="1"/>
      <c r="Q31" s="1"/>
      <c r="R31" s="1"/>
      <c r="S31" s="1"/>
    </row>
    <row r="32" spans="1:19" ht="25.25" customHeight="1" x14ac:dyDescent="0.2">
      <c r="A32" s="1"/>
      <c r="B32" s="1"/>
      <c r="C32" s="1"/>
      <c r="D32" s="1"/>
      <c r="E32" s="1" t="s">
        <v>233</v>
      </c>
      <c r="F32" s="1" t="s">
        <v>234</v>
      </c>
      <c r="G32" s="1"/>
      <c r="H32" s="1"/>
      <c r="I32" s="5" t="s">
        <v>71</v>
      </c>
      <c r="J32" s="5" t="s">
        <v>72</v>
      </c>
      <c r="K32" s="5">
        <v>4</v>
      </c>
      <c r="L32" s="1"/>
      <c r="M32" s="1"/>
      <c r="N32" s="1"/>
      <c r="O32" s="1"/>
      <c r="P32" s="1"/>
      <c r="Q32" s="1"/>
      <c r="R32" s="1"/>
      <c r="S32" s="1"/>
    </row>
    <row r="33" spans="1:19" ht="25.25" customHeight="1" x14ac:dyDescent="0.2">
      <c r="A33" s="1"/>
      <c r="B33" s="1"/>
      <c r="C33" s="1"/>
      <c r="D33" s="1"/>
      <c r="E33" s="5" t="s">
        <v>21</v>
      </c>
      <c r="F33" s="5" t="s">
        <v>58</v>
      </c>
      <c r="G33" s="5">
        <v>4</v>
      </c>
      <c r="H33" s="1"/>
      <c r="I33" s="15" t="s">
        <v>134</v>
      </c>
      <c r="J33" s="15" t="s">
        <v>135</v>
      </c>
      <c r="K33" s="15">
        <v>4</v>
      </c>
      <c r="L33" s="1"/>
      <c r="M33" s="1"/>
      <c r="N33" s="1"/>
      <c r="O33" s="1"/>
      <c r="P33" s="1"/>
      <c r="Q33" s="1"/>
      <c r="R33" s="1"/>
      <c r="S33" s="1"/>
    </row>
    <row r="34" spans="1:19" ht="25.2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25.2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25.2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25.2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25.25" customHeight="1" x14ac:dyDescent="0.2">
      <c r="A38" s="1"/>
      <c r="B38" s="1"/>
      <c r="C38" s="1"/>
      <c r="D38" s="1"/>
      <c r="E38" s="1"/>
      <c r="F38" s="1"/>
      <c r="G38" s="1"/>
      <c r="H38" s="1"/>
      <c r="I38" s="50" t="s">
        <v>179</v>
      </c>
      <c r="J38" s="50"/>
      <c r="K38" s="30" t="s">
        <v>2</v>
      </c>
      <c r="L38" s="1"/>
      <c r="M38" s="1"/>
      <c r="N38" s="1"/>
      <c r="O38" s="1"/>
      <c r="P38" s="1"/>
      <c r="Q38" s="1"/>
      <c r="R38" s="1"/>
      <c r="S38" s="1"/>
    </row>
    <row r="39" spans="1:19" ht="25.25" customHeight="1" x14ac:dyDescent="0.2">
      <c r="A39" s="1"/>
      <c r="B39" s="1"/>
      <c r="C39" s="1"/>
      <c r="D39" s="1"/>
      <c r="E39" s="1"/>
      <c r="F39" s="1"/>
      <c r="G39" s="1"/>
      <c r="H39" s="1"/>
      <c r="I39" s="34" t="s">
        <v>0</v>
      </c>
      <c r="J39" s="29" t="s">
        <v>1</v>
      </c>
      <c r="K39" s="31">
        <f>SUM(K40:K49)</f>
        <v>0</v>
      </c>
      <c r="L39" s="1"/>
      <c r="M39" s="1"/>
      <c r="N39" s="1"/>
      <c r="O39" s="1"/>
      <c r="P39" s="1"/>
      <c r="Q39" s="1"/>
      <c r="R39" s="1"/>
      <c r="S39" s="1"/>
    </row>
    <row r="40" spans="1:19" ht="25.25" customHeight="1" x14ac:dyDescent="0.2">
      <c r="A40" s="1"/>
      <c r="B40" s="1"/>
      <c r="C40" s="1"/>
      <c r="D40" s="1"/>
      <c r="E40" s="1"/>
      <c r="F40" s="1"/>
      <c r="G40" s="1"/>
      <c r="H40" s="1"/>
      <c r="I40" s="15"/>
      <c r="J40" s="15"/>
      <c r="K40" s="15"/>
      <c r="L40" s="1"/>
      <c r="M40" s="1"/>
      <c r="N40" s="1"/>
      <c r="O40" s="1"/>
      <c r="P40" s="1"/>
      <c r="Q40" s="1"/>
      <c r="R40" s="1"/>
      <c r="S40" s="1"/>
    </row>
    <row r="41" spans="1:19" ht="25.25" customHeight="1" x14ac:dyDescent="0.2">
      <c r="A41" s="1"/>
      <c r="B41" s="1"/>
      <c r="C41" s="1"/>
      <c r="D41" s="1"/>
      <c r="E41" s="1"/>
      <c r="F41" s="1"/>
      <c r="G41" s="1"/>
      <c r="H41" s="1"/>
      <c r="I41" s="15"/>
      <c r="J41" s="15"/>
      <c r="K41" s="15"/>
      <c r="L41" s="1"/>
      <c r="M41" s="1"/>
      <c r="N41" s="1"/>
      <c r="O41" s="1"/>
      <c r="P41" s="1"/>
      <c r="Q41" s="1"/>
      <c r="R41" s="1"/>
      <c r="S41" s="1"/>
    </row>
    <row r="42" spans="1:19" ht="25.25" customHeight="1" x14ac:dyDescent="0.2">
      <c r="A42" s="1"/>
      <c r="B42" s="1"/>
      <c r="C42" s="1"/>
      <c r="D42" s="1"/>
      <c r="E42" s="1"/>
      <c r="F42" s="1"/>
      <c r="G42" s="1"/>
      <c r="H42" s="1"/>
      <c r="I42" s="5"/>
      <c r="J42" s="5"/>
      <c r="K42" s="5"/>
      <c r="L42" s="1"/>
      <c r="M42" s="1"/>
      <c r="N42" s="1"/>
      <c r="O42" s="1"/>
      <c r="P42" s="1"/>
      <c r="Q42" s="1"/>
      <c r="R42" s="1"/>
      <c r="S42" s="1"/>
    </row>
    <row r="43" spans="1:19" ht="25.25" customHeight="1" x14ac:dyDescent="0.2">
      <c r="A43" s="1"/>
      <c r="B43" s="1"/>
      <c r="C43" s="1"/>
      <c r="D43" s="1"/>
      <c r="E43" s="1"/>
      <c r="F43" s="1"/>
      <c r="G43" s="1"/>
      <c r="H43" s="1"/>
      <c r="I43" s="15"/>
      <c r="J43" s="15"/>
      <c r="K43" s="15"/>
      <c r="L43" s="1"/>
      <c r="M43" s="1"/>
      <c r="N43" s="1"/>
      <c r="O43" s="1"/>
      <c r="P43" s="1"/>
      <c r="Q43" s="1"/>
      <c r="R43" s="1"/>
      <c r="S43" s="1"/>
    </row>
    <row r="44" spans="1:19" ht="25.25" customHeight="1" x14ac:dyDescent="0.2">
      <c r="A44" s="1"/>
      <c r="B44" s="1"/>
      <c r="C44" s="1"/>
      <c r="D44" s="1"/>
      <c r="E44" s="1"/>
      <c r="F44" s="1"/>
      <c r="G44" s="1"/>
      <c r="H44" s="1"/>
      <c r="I44" s="5"/>
      <c r="J44" s="5"/>
      <c r="K44" s="5"/>
      <c r="L44" s="1"/>
      <c r="M44" s="1"/>
      <c r="N44" s="1"/>
      <c r="O44" s="1"/>
      <c r="P44" s="1"/>
      <c r="Q44" s="1"/>
      <c r="R44" s="1"/>
      <c r="S44" s="1"/>
    </row>
    <row r="45" spans="1:19" ht="25.25" customHeight="1" x14ac:dyDescent="0.2">
      <c r="A45" s="1"/>
      <c r="B45" s="1"/>
      <c r="C45" s="1"/>
      <c r="D45" s="1"/>
      <c r="E45" s="1"/>
      <c r="F45" s="1"/>
      <c r="G45" s="1"/>
      <c r="H45" s="1"/>
      <c r="I45" s="15"/>
      <c r="J45" s="15"/>
      <c r="K45" s="15"/>
      <c r="L45" s="1"/>
      <c r="M45" s="1"/>
      <c r="N45" s="1"/>
      <c r="O45" s="1"/>
      <c r="P45" s="1"/>
      <c r="Q45" s="1"/>
      <c r="R45" s="1"/>
      <c r="S45" s="1"/>
    </row>
    <row r="46" spans="1:19" ht="25.2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25.2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25.2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25.2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25.2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25.2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25.2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25.2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25.2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25.2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25.2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25.2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25.2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25.2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25.2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25.2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25.2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25.2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25.2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25.2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25.2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25.2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25.2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25.2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25.2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25.2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25.2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25.2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25.2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25.2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25.2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25.2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25.2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25.2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25.2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25.2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25.2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25.2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25.2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25.2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25.2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25.2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25.2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25.2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25.2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25.2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25.2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25.2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25.2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25.2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25.2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25.2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25.2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25.2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25.2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25.2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25.2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25.2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25.2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25.2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25.2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25.2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25.2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25.2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25.2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25.2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25.2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25.2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25.2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25.2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25.2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25.2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25.2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25.2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25.2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25.2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25.2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25.2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25.2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25.2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25.2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25.2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25.2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25.2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25.2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25.2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25.2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25.2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25.2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25.2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25.2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25.2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25.2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25.2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25.2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25.2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25.2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25.2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25.2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25.2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25.2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25.2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25.2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25.2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25.2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25.2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25.2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25.2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25.2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25.2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25.2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25.2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25.2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25.2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25.2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25.2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25.2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25.2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25.2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25.2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25.2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25.2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25.2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25.2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25.2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25.2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25.2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25.2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25.2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25.2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25.2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25.2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25.2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25.2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25.2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25.2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25.2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25.2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25.2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25.2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25.2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25.2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25.2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25.2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25.2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25.2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25.2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25.2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25.2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25.2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25.2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25.2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25.2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25.2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25.2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25.2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25.2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25.2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25.2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25.2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25.2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25.2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25.2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25.2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25.2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25.2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25.2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25.2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25.2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25.2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25.2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25.2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25.2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25.2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25.2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25.2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25.2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25.2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25.2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25.2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25.2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25.2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25.2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25.2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25.2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25.2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25.2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25.2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25.2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25.2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25.2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25.2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25.2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25.2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25.2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25.2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25.2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25.2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25.2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25.2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25.2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25.2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25.2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25.2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25.2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25.2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25.2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25.2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25.2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25.2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25.2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25.2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25.2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25.2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25.2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25.2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25.2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25.2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25.2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25.2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25.2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25.2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25.2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25.2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25.2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25.2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25.2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25.2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25.2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25.2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25.2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25.2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25.2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25.2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25.2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25.2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25.2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25.2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25.2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25.2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25.2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25.2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25.2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25.2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25.2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25.2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25.2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25.2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25.2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25.2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25.2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25.2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25.2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25.2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25.2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25.2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25.2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25.2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25.2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25.2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25.2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25.2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25.2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25.2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25.2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25.2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25.2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25.2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25.2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25.2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25.2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25.2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25.2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25.2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25.2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25.2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25.2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25.2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25.2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25.2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25.2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25.2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25.2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25.2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25.2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25.2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25.2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25.2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25.2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25.2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25.2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25.2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25.2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25.2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25.2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25.2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25.2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25.2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25.2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25.2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25.2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25.2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25.2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25.2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25.2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25.2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25.2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25.2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25.2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25.2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25.2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25.2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25.2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25.2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25.2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25.2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25.2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25.2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25.2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25.2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25.2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25.2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25.2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25.2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25.2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25.2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25.2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25.2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25.2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25.2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25.2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25.2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25.2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25.2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25.2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25.2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25.2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25.2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25.2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25.2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25.2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25.2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25.2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25.2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25.2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25.2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25.2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25.2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25.2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25.2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25.2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25.2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25.2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25.2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25.2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25.2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25.2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25.2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25.2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25.2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25.2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25.2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25.2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25.2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25.2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25.2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25.2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25.2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25.2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25.2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25.2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25.2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25.2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25.2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25.2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25.2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25.2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25.2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25.2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25.2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25.2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25.2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25.2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25.2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25.2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25.2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25.2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25.2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25.2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25.2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25.2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25.2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25.2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25.2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25.2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25.2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25.2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25.2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25.2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25.2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25.2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25.2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25.2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25.2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25.2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25.2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25.2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25.2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25.2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25.2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25.2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25.2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25.2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25.2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25.2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25.2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25.2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25.2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25.2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25.2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25.2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25.2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25.2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25.2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25.2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25.2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25.2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25.2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25.2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25.2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25.2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25.2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25.2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25.2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25.2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25.2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25.2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25.2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25.2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25.2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25.2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25.2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25.2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25.2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25.2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25.2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25.2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25.2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25.2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25.2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25.2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25.2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25.2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25.2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25.2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25.2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25.2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25.2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25.2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25.2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25.2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25.2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25.2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25.2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25.2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25.2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25.2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25.2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25.2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25.2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25.2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25.2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25.2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25.2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25.2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25.2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25.2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25.2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25.2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25.2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25.2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25.2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25.2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25.2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25.2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25.2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25.2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25.2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25.2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25.2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25.2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25.2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25.2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25.2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25.2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25.2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25.2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25.2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25.2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25.2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25.2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25.2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25.2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25.2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25.2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25.2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25.2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25.2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25.2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25.2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25.2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25.2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25.2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25.2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25.2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25.2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25.2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25.2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25.2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25.2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25.2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25.2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25.2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25.2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25.2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25.2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25.2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25.2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25.2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25.2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25.2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25.2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25.2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25.2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25.2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25.2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25.2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25.2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25.2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25.2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25.2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25.2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25.2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25.2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25.2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25.2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25.2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25.2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25.2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25.2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25.2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25.2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25.2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25.2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25.2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25.2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25.2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25.2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25.2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25.2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25.2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25.2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25.2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25.2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25.2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25.2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25.2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25.2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25.2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25.2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25.2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25.2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25.2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25.2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25.2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25.2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25.2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25.2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25.2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25.2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25.2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25.2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25.2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25.2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25.2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25.2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25.2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25.2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25.2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25.2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25.2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25.2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25.2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25.2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25.2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25.2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25.2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25.2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25.2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25.2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25.2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25.2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25.2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25.2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25.2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25.2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25.2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25.2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25.2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25.2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25.2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25.2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25.2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25.2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25.2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25.2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25.2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25.2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25.2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25.2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25.2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25.2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25.2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25.2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25.2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25.2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25.2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25.2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25.2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25.2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25.2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25.2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25.2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25.2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25.2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25.2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25.2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25.2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25.2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25.2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25.2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25.2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25.2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25.2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25.2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25.2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25.2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25.2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25.2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25.2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25.2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25.2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25.2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25.2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25.2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25.2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25.2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25.2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25.2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25.2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25.2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25.2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25.2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25.2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25.2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25.2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25.2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25.2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25.2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25.2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25.2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25.2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25.2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25.2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25.2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25.2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25.2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25.2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25.2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25.2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25.2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25.2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25.2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25.2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25.2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25.2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25.2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25.2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25.2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25.2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25.2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25.2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25.2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25.2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25.2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25.2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25.2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25.2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25.2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25.2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25.2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25.2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25.2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25.2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25.2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25.2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25.2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25.2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25.2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25.2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25.2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25.2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25.2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25.2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25.2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25.2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25.2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25.2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25.2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25.2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25.2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25.2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25.2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25.2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25.2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25.2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25.2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25.2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25.2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25.2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25.2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25.2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25.2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25.2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25.2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25.2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25.2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25.2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25.2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25.2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25.2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25.2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25.2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25.2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25.2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25.2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25.2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25.2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25.2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25.2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25.2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25.2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25.2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25.2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25.2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25.2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25.2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25.2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25.2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25.2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25.2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25.2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25.2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25.2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25.2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25.2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25.2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25.2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25.2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25.2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25.2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25.2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25.2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25.2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25.2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25.2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25.2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25.2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25.2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25.2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25.2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25.2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25.2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25.2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25.2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25.2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25.2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25.2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25.2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25.2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25.2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25.2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25.2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25.2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25.2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25.2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25.2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25.2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25.2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25.2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25.2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25.2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25.2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25.2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25.2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25.2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25.2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25.2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25.2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25.2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25.2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25.2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25.2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25.2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25.2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25.2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25.2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25.2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25.2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25.2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25.2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25.2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25.2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25.2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25.2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25.2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25.2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25.2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25.2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25.2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25.2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25.2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25.2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25.2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25.2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25.2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25.2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25.2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25.2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25.2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25.2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25.2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25.2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25.2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25.2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25.2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25.2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25.2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25.2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25.2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25.2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25.2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25.2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25.2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25.2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25.2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25.2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25.2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25.2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25.2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25.2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25.2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25.2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25.2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25.2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25.2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25.2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25.2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25.2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25.2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25.2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25.2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25.2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25.2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25.2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25.2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25.2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25.2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25.2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25.2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25.2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25.2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25.2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25.2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25.2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25.2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25.2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25.2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25.2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25.2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25.2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25.2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25.2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25.2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25.2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25.2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25.2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25.2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25.2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25.2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25.2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25.2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25.2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25.2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25.2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25.2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25.2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25.2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25.2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25.2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25.2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25.2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25.2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25.2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25.2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25.2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25.2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25.2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25.2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25.2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25.2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25.2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25.2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25.2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25.2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25.2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25.2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25.2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25.2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25.2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25.2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25.2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25.2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25.2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25.2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25.2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25.2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25.2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25.2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ht="25.2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ht="25.2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ht="25.2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ht="25.2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ht="25.2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ht="25.2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ht="25.2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ht="25.2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ht="25.2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ht="25.2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ht="25.2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 spans="1:19" ht="25.2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</row>
    <row r="997" spans="1:19" ht="25.2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</sheetData>
  <mergeCells count="7">
    <mergeCell ref="A1:G1"/>
    <mergeCell ref="I38:J38"/>
    <mergeCell ref="A2:B2"/>
    <mergeCell ref="E2:F2"/>
    <mergeCell ref="I2:J2"/>
    <mergeCell ref="I14:J14"/>
    <mergeCell ref="I26:J26"/>
  </mergeCells>
  <pageMargins left="0.7" right="0.7" top="0.75" bottom="0.75" header="0.3" footer="0.3"/>
  <pageSetup paperSize="9" scale="4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T997"/>
  <sheetViews>
    <sheetView zoomScale="90" zoomScaleNormal="90" workbookViewId="0">
      <selection activeCell="B18" sqref="B18"/>
    </sheetView>
  </sheetViews>
  <sheetFormatPr baseColWidth="10" defaultColWidth="12.6640625" defaultRowHeight="25.25" customHeight="1" x14ac:dyDescent="0.2"/>
  <cols>
    <col min="1" max="1" width="12.6640625" style="2"/>
    <col min="2" max="2" width="40.6640625" style="2" customWidth="1"/>
    <col min="3" max="3" width="12.6640625" style="2"/>
    <col min="4" max="4" width="5.1640625" style="2" customWidth="1"/>
    <col min="5" max="5" width="12.6640625" style="2"/>
    <col min="6" max="6" width="49.6640625" style="2" customWidth="1"/>
    <col min="7" max="7" width="12.6640625" style="2"/>
    <col min="8" max="8" width="5.1640625" style="2" customWidth="1"/>
    <col min="9" max="9" width="12.6640625" style="2"/>
    <col min="10" max="10" width="41.6640625" style="2" customWidth="1"/>
    <col min="11" max="16384" width="12.6640625" style="2"/>
  </cols>
  <sheetData>
    <row r="1" spans="1:20" ht="25.25" customHeight="1" thickBot="1" x14ac:dyDescent="0.25">
      <c r="A1" s="54" t="s">
        <v>216</v>
      </c>
      <c r="B1" s="54"/>
      <c r="C1" s="54"/>
      <c r="D1" s="54"/>
      <c r="E1" s="54"/>
      <c r="F1" s="54"/>
      <c r="G1" s="54"/>
    </row>
    <row r="2" spans="1:20" ht="25.25" customHeight="1" thickTop="1" x14ac:dyDescent="0.2">
      <c r="A2" s="50" t="s">
        <v>162</v>
      </c>
      <c r="B2" s="50"/>
      <c r="C2" s="30" t="s">
        <v>2</v>
      </c>
      <c r="D2" s="1"/>
      <c r="E2" s="58" t="s">
        <v>159</v>
      </c>
      <c r="F2" s="64"/>
      <c r="G2" s="30" t="s">
        <v>2</v>
      </c>
      <c r="H2" s="1"/>
      <c r="I2" s="50" t="s">
        <v>176</v>
      </c>
      <c r="J2" s="50"/>
      <c r="K2" s="30" t="s">
        <v>2</v>
      </c>
      <c r="L2" s="1"/>
      <c r="M2" s="1"/>
      <c r="N2" s="1"/>
      <c r="O2" s="1"/>
      <c r="P2" s="1"/>
      <c r="Q2" s="1"/>
      <c r="R2" s="1"/>
      <c r="S2" s="1"/>
      <c r="T2" s="1"/>
    </row>
    <row r="3" spans="1:20" ht="25.25" customHeight="1" x14ac:dyDescent="0.2">
      <c r="A3" s="29" t="s">
        <v>0</v>
      </c>
      <c r="B3" s="29" t="s">
        <v>1</v>
      </c>
      <c r="C3" s="31">
        <f>SUM(C4:C26)</f>
        <v>36</v>
      </c>
      <c r="D3" s="1"/>
      <c r="E3" s="19" t="s">
        <v>0</v>
      </c>
      <c r="F3" s="19" t="s">
        <v>1</v>
      </c>
      <c r="G3" s="32">
        <f>SUM(G4:G19)</f>
        <v>51</v>
      </c>
      <c r="H3" s="12"/>
      <c r="I3" s="34" t="s">
        <v>0</v>
      </c>
      <c r="J3" s="29" t="s">
        <v>1</v>
      </c>
      <c r="K3" s="31">
        <f>SUM(K4:K11)</f>
        <v>20</v>
      </c>
      <c r="L3" s="1"/>
      <c r="M3" s="1"/>
      <c r="N3" s="1"/>
      <c r="O3" s="1"/>
      <c r="P3" s="1"/>
      <c r="Q3" s="1"/>
      <c r="R3" s="1"/>
      <c r="S3" s="1"/>
      <c r="T3" s="1"/>
    </row>
    <row r="4" spans="1:20" ht="25.25" customHeight="1" x14ac:dyDescent="0.2">
      <c r="A4" s="5" t="s">
        <v>40</v>
      </c>
      <c r="B4" s="5" t="s">
        <v>41</v>
      </c>
      <c r="C4" s="5">
        <v>1</v>
      </c>
      <c r="D4" s="1"/>
      <c r="E4" s="15" t="s">
        <v>259</v>
      </c>
      <c r="F4" s="15" t="s">
        <v>89</v>
      </c>
      <c r="G4" s="15">
        <v>4</v>
      </c>
      <c r="H4" s="1"/>
      <c r="I4" s="5" t="s">
        <v>50</v>
      </c>
      <c r="J4" s="5" t="s">
        <v>51</v>
      </c>
      <c r="K4" s="5">
        <v>3</v>
      </c>
      <c r="L4" s="1"/>
      <c r="M4" s="1"/>
      <c r="N4" s="1"/>
      <c r="O4" s="1"/>
      <c r="P4" s="1"/>
      <c r="Q4" s="1"/>
      <c r="R4" s="1"/>
      <c r="S4" s="1"/>
      <c r="T4" s="1"/>
    </row>
    <row r="5" spans="1:20" ht="25.25" customHeight="1" x14ac:dyDescent="0.2">
      <c r="A5" s="5" t="s">
        <v>44</v>
      </c>
      <c r="B5" s="5" t="s">
        <v>45</v>
      </c>
      <c r="C5" s="5">
        <v>3</v>
      </c>
      <c r="D5" s="1"/>
      <c r="E5" s="15" t="s">
        <v>92</v>
      </c>
      <c r="F5" s="15" t="s">
        <v>93</v>
      </c>
      <c r="G5" s="15">
        <v>3</v>
      </c>
      <c r="H5" s="1"/>
      <c r="I5" s="5" t="s">
        <v>87</v>
      </c>
      <c r="J5" s="5" t="s">
        <v>66</v>
      </c>
      <c r="K5" s="5">
        <v>3</v>
      </c>
      <c r="L5" s="1"/>
      <c r="M5" s="1"/>
      <c r="N5" s="1"/>
      <c r="O5" s="1"/>
      <c r="P5" s="1"/>
      <c r="Q5" s="1"/>
      <c r="R5" s="1"/>
      <c r="S5" s="1"/>
      <c r="T5" s="1"/>
    </row>
    <row r="6" spans="1:20" ht="25.25" customHeight="1" x14ac:dyDescent="0.2">
      <c r="A6" s="5" t="s">
        <v>50</v>
      </c>
      <c r="B6" s="5" t="s">
        <v>51</v>
      </c>
      <c r="C6" s="5">
        <v>3</v>
      </c>
      <c r="D6" s="1"/>
      <c r="E6" s="15" t="s">
        <v>124</v>
      </c>
      <c r="F6" s="15" t="s">
        <v>73</v>
      </c>
      <c r="G6" s="15">
        <v>3</v>
      </c>
      <c r="H6" s="1"/>
      <c r="I6" s="5" t="s">
        <v>78</v>
      </c>
      <c r="J6" s="5" t="s">
        <v>79</v>
      </c>
      <c r="K6" s="5">
        <v>4</v>
      </c>
      <c r="L6" s="1"/>
      <c r="M6" s="1"/>
      <c r="N6" s="1"/>
      <c r="O6" s="1"/>
      <c r="P6" s="1"/>
      <c r="Q6" s="1"/>
      <c r="R6" s="1"/>
      <c r="S6" s="1"/>
      <c r="T6" s="1"/>
    </row>
    <row r="7" spans="1:20" ht="25.25" customHeight="1" x14ac:dyDescent="0.2">
      <c r="A7" s="5" t="s">
        <v>260</v>
      </c>
      <c r="B7" s="5" t="s">
        <v>261</v>
      </c>
      <c r="C7" s="5">
        <v>3</v>
      </c>
      <c r="D7" s="1"/>
      <c r="E7" s="5" t="s">
        <v>21</v>
      </c>
      <c r="F7" s="5" t="s">
        <v>58</v>
      </c>
      <c r="G7" s="5">
        <v>4</v>
      </c>
      <c r="H7" s="1"/>
      <c r="I7" s="5" t="s">
        <v>82</v>
      </c>
      <c r="J7" s="5" t="s">
        <v>83</v>
      </c>
      <c r="K7" s="5">
        <v>4</v>
      </c>
      <c r="L7" s="1"/>
      <c r="M7" s="1"/>
      <c r="N7" s="1"/>
      <c r="O7" s="1"/>
      <c r="P7" s="1"/>
      <c r="Q7" s="1"/>
      <c r="R7" s="1"/>
      <c r="S7" s="1"/>
      <c r="T7" s="1"/>
    </row>
    <row r="8" spans="1:20" ht="25.25" customHeight="1" x14ac:dyDescent="0.2">
      <c r="A8" s="5" t="s">
        <v>59</v>
      </c>
      <c r="B8" s="5" t="s">
        <v>60</v>
      </c>
      <c r="C8" s="5">
        <v>3</v>
      </c>
      <c r="D8" s="1"/>
      <c r="E8" s="35" t="s">
        <v>90</v>
      </c>
      <c r="F8" s="35" t="s">
        <v>91</v>
      </c>
      <c r="G8" s="35">
        <v>3</v>
      </c>
      <c r="H8" s="1"/>
      <c r="I8" s="39" t="s">
        <v>180</v>
      </c>
      <c r="J8" s="39"/>
      <c r="K8" s="39">
        <v>3</v>
      </c>
      <c r="L8" s="1"/>
      <c r="M8" s="1"/>
      <c r="N8" s="1"/>
      <c r="O8" s="1"/>
      <c r="P8" s="1"/>
      <c r="Q8" s="1"/>
      <c r="R8" s="1"/>
      <c r="S8" s="1"/>
      <c r="T8" s="1"/>
    </row>
    <row r="9" spans="1:20" ht="25.25" customHeight="1" x14ac:dyDescent="0.2">
      <c r="A9" s="15" t="s">
        <v>99</v>
      </c>
      <c r="B9" s="15" t="s">
        <v>168</v>
      </c>
      <c r="C9" s="2">
        <v>3</v>
      </c>
      <c r="D9" s="1"/>
      <c r="E9" s="36" t="s">
        <v>108</v>
      </c>
      <c r="F9" s="36" t="s">
        <v>109</v>
      </c>
      <c r="G9" s="36">
        <v>4</v>
      </c>
      <c r="H9" s="1"/>
      <c r="I9" s="39" t="s">
        <v>180</v>
      </c>
      <c r="J9" s="39"/>
      <c r="K9" s="39">
        <v>3</v>
      </c>
      <c r="L9" s="1"/>
      <c r="M9" s="1"/>
      <c r="N9" s="1"/>
      <c r="O9" s="1"/>
      <c r="P9" s="1"/>
      <c r="Q9" s="1"/>
      <c r="R9" s="1"/>
      <c r="S9" s="1"/>
      <c r="T9" s="1"/>
    </row>
    <row r="10" spans="1:20" ht="25.25" customHeight="1" x14ac:dyDescent="0.2">
      <c r="A10" s="5" t="s">
        <v>127</v>
      </c>
      <c r="B10" s="5" t="s">
        <v>136</v>
      </c>
      <c r="C10" s="5">
        <v>3</v>
      </c>
      <c r="D10" s="1"/>
      <c r="E10" s="35" t="s">
        <v>97</v>
      </c>
      <c r="F10" s="35" t="s">
        <v>98</v>
      </c>
      <c r="G10" s="35">
        <v>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25.25" customHeight="1" x14ac:dyDescent="0.2">
      <c r="A11" s="47" t="s">
        <v>157</v>
      </c>
      <c r="B11" s="47" t="s">
        <v>81</v>
      </c>
      <c r="C11" s="48">
        <v>3</v>
      </c>
      <c r="D11" s="1"/>
      <c r="E11" s="35" t="s">
        <v>100</v>
      </c>
      <c r="F11" s="35" t="s">
        <v>101</v>
      </c>
      <c r="G11" s="35">
        <v>3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25.25" customHeight="1" x14ac:dyDescent="0.2">
      <c r="A12" s="5" t="s">
        <v>87</v>
      </c>
      <c r="B12" s="5" t="s">
        <v>66</v>
      </c>
      <c r="C12" s="5">
        <v>3</v>
      </c>
      <c r="D12" s="1"/>
      <c r="E12" s="35" t="s">
        <v>103</v>
      </c>
      <c r="F12" s="37" t="s">
        <v>104</v>
      </c>
      <c r="G12" s="38">
        <v>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25.25" customHeight="1" x14ac:dyDescent="0.2">
      <c r="A13" s="5" t="s">
        <v>82</v>
      </c>
      <c r="B13" s="5" t="s">
        <v>83</v>
      </c>
      <c r="C13" s="5">
        <v>4</v>
      </c>
      <c r="D13" s="1"/>
      <c r="E13" s="21" t="s">
        <v>85</v>
      </c>
      <c r="F13" s="21" t="s">
        <v>86</v>
      </c>
      <c r="G13" s="28">
        <v>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25.25" customHeight="1" x14ac:dyDescent="0.2">
      <c r="A14" s="5" t="s">
        <v>78</v>
      </c>
      <c r="B14" s="5" t="s">
        <v>79</v>
      </c>
      <c r="C14" s="5">
        <v>4</v>
      </c>
      <c r="D14" s="1"/>
      <c r="E14" s="15" t="s">
        <v>88</v>
      </c>
      <c r="F14" s="25" t="s">
        <v>169</v>
      </c>
      <c r="G14" s="15">
        <v>3</v>
      </c>
      <c r="H14" s="1"/>
      <c r="I14" s="50" t="s">
        <v>177</v>
      </c>
      <c r="J14" s="50"/>
      <c r="K14" s="30" t="s">
        <v>2</v>
      </c>
      <c r="L14" s="1"/>
      <c r="M14" s="1"/>
      <c r="N14" s="1"/>
      <c r="O14" s="1"/>
      <c r="P14" s="1"/>
      <c r="Q14" s="1"/>
      <c r="R14" s="1"/>
      <c r="S14" s="1"/>
      <c r="T14" s="1"/>
    </row>
    <row r="15" spans="1:20" ht="25.25" customHeight="1" x14ac:dyDescent="0.2">
      <c r="A15" s="15" t="s">
        <v>128</v>
      </c>
      <c r="B15" s="15" t="s">
        <v>102</v>
      </c>
      <c r="C15" s="15">
        <v>3</v>
      </c>
      <c r="D15" s="1"/>
      <c r="E15" s="5" t="s">
        <v>64</v>
      </c>
      <c r="F15" s="5" t="s">
        <v>65</v>
      </c>
      <c r="G15" s="13">
        <v>3</v>
      </c>
      <c r="H15" s="1"/>
      <c r="I15" s="34" t="s">
        <v>0</v>
      </c>
      <c r="J15" s="29" t="s">
        <v>1</v>
      </c>
      <c r="K15" s="31">
        <f>SUM(K16:K24)</f>
        <v>23</v>
      </c>
      <c r="L15" s="1"/>
      <c r="M15" s="1"/>
      <c r="N15" s="1"/>
      <c r="O15" s="1"/>
      <c r="P15" s="1"/>
      <c r="Q15" s="1"/>
      <c r="R15" s="1"/>
      <c r="S15" s="1"/>
      <c r="T15" s="1"/>
    </row>
    <row r="16" spans="1:20" ht="25.25" customHeight="1" x14ac:dyDescent="0.2">
      <c r="D16" s="1"/>
      <c r="E16" s="15" t="s">
        <v>172</v>
      </c>
      <c r="F16" s="15" t="s">
        <v>107</v>
      </c>
      <c r="G16" s="15">
        <v>3</v>
      </c>
      <c r="H16" s="1"/>
      <c r="I16" s="5" t="s">
        <v>94</v>
      </c>
      <c r="J16" s="5" t="s">
        <v>95</v>
      </c>
      <c r="K16" s="5">
        <v>3</v>
      </c>
      <c r="L16" s="1"/>
      <c r="M16" s="1"/>
      <c r="N16" s="1"/>
      <c r="O16" s="1"/>
      <c r="P16" s="1"/>
      <c r="Q16" s="1"/>
      <c r="R16" s="1"/>
      <c r="S16" s="1"/>
      <c r="T16" s="1"/>
    </row>
    <row r="17" spans="1:20" ht="25.25" customHeight="1" x14ac:dyDescent="0.2">
      <c r="A17" s="1"/>
      <c r="B17" s="1"/>
      <c r="C17" s="1"/>
      <c r="D17" s="1"/>
      <c r="E17" s="15" t="s">
        <v>172</v>
      </c>
      <c r="F17" s="15" t="s">
        <v>96</v>
      </c>
      <c r="G17" s="15">
        <v>3</v>
      </c>
      <c r="H17" s="1"/>
      <c r="I17" s="15" t="s">
        <v>128</v>
      </c>
      <c r="J17" s="15" t="s">
        <v>102</v>
      </c>
      <c r="K17" s="15">
        <v>3</v>
      </c>
      <c r="L17" s="1"/>
      <c r="M17" s="1"/>
      <c r="N17" s="1"/>
      <c r="O17" s="1"/>
      <c r="P17" s="1"/>
      <c r="Q17" s="1"/>
      <c r="R17" s="1"/>
      <c r="S17" s="1"/>
      <c r="T17" s="1"/>
    </row>
    <row r="18" spans="1:20" ht="25.25" customHeight="1" x14ac:dyDescent="0.2">
      <c r="A18" s="1"/>
      <c r="B18" s="1"/>
      <c r="C18" s="1"/>
      <c r="D18" s="1"/>
      <c r="E18" s="15" t="s">
        <v>172</v>
      </c>
      <c r="F18" s="15" t="s">
        <v>105</v>
      </c>
      <c r="G18" s="15">
        <v>3</v>
      </c>
      <c r="H18" s="1"/>
      <c r="I18" s="5" t="s">
        <v>235</v>
      </c>
      <c r="J18" s="5" t="s">
        <v>236</v>
      </c>
      <c r="K18" s="5">
        <v>4</v>
      </c>
      <c r="L18" s="1"/>
      <c r="M18" s="1"/>
      <c r="N18" s="1"/>
      <c r="O18" s="1"/>
      <c r="P18" s="1"/>
      <c r="Q18" s="1"/>
      <c r="R18" s="1"/>
      <c r="S18" s="1"/>
      <c r="T18" s="1"/>
    </row>
    <row r="19" spans="1:20" ht="25.25" customHeight="1" x14ac:dyDescent="0.2">
      <c r="A19" s="1"/>
      <c r="B19" s="1"/>
      <c r="C19" s="1"/>
      <c r="D19" s="1"/>
      <c r="E19" s="15" t="s">
        <v>172</v>
      </c>
      <c r="F19" s="15" t="s">
        <v>106</v>
      </c>
      <c r="G19" s="15">
        <v>3</v>
      </c>
      <c r="H19" s="1"/>
      <c r="I19" s="15" t="s">
        <v>237</v>
      </c>
      <c r="J19" s="15" t="s">
        <v>238</v>
      </c>
      <c r="K19" s="15">
        <v>3</v>
      </c>
      <c r="L19" s="1"/>
      <c r="M19" s="1"/>
      <c r="N19" s="1"/>
      <c r="O19" s="1"/>
      <c r="P19" s="1"/>
      <c r="Q19" s="1"/>
      <c r="R19" s="1"/>
      <c r="S19" s="1"/>
      <c r="T19" s="1"/>
    </row>
    <row r="20" spans="1:20" ht="25.25" customHeight="1" x14ac:dyDescent="0.2">
      <c r="A20" s="1"/>
      <c r="B20" s="1"/>
      <c r="C20" s="1"/>
      <c r="D20" s="1"/>
      <c r="E20" s="5" t="s">
        <v>235</v>
      </c>
      <c r="F20" s="5" t="s">
        <v>236</v>
      </c>
      <c r="G20" s="5">
        <v>4</v>
      </c>
      <c r="H20" s="1"/>
      <c r="I20" s="5" t="s">
        <v>239</v>
      </c>
      <c r="J20" s="5" t="s">
        <v>240</v>
      </c>
      <c r="K20" s="5">
        <v>3</v>
      </c>
      <c r="L20" s="1"/>
      <c r="M20" s="1"/>
      <c r="N20" s="1"/>
      <c r="O20" s="1"/>
      <c r="P20" s="1"/>
      <c r="Q20" s="1"/>
      <c r="R20" s="1"/>
      <c r="S20" s="1"/>
      <c r="T20" s="1"/>
    </row>
    <row r="21" spans="1:20" ht="25.25" customHeight="1" x14ac:dyDescent="0.2">
      <c r="A21" s="1"/>
      <c r="B21" s="1"/>
      <c r="C21" s="1"/>
      <c r="D21" s="1"/>
      <c r="E21" s="15" t="s">
        <v>237</v>
      </c>
      <c r="F21" s="15" t="s">
        <v>238</v>
      </c>
      <c r="G21" s="15">
        <v>3</v>
      </c>
      <c r="H21" s="1"/>
      <c r="I21" s="38" t="s">
        <v>100</v>
      </c>
      <c r="J21" s="38" t="s">
        <v>101</v>
      </c>
      <c r="K21" s="38">
        <v>3</v>
      </c>
      <c r="L21" s="1"/>
      <c r="M21" s="1"/>
      <c r="N21" s="1"/>
      <c r="O21" s="1"/>
      <c r="P21" s="1"/>
      <c r="Q21" s="1"/>
      <c r="R21" s="1"/>
      <c r="S21" s="1"/>
      <c r="T21" s="1"/>
    </row>
    <row r="22" spans="1:20" ht="25.25" customHeight="1" x14ac:dyDescent="0.2">
      <c r="A22" s="1"/>
      <c r="B22" s="1"/>
      <c r="C22" s="1"/>
      <c r="D22" s="1"/>
      <c r="E22" s="5" t="s">
        <v>239</v>
      </c>
      <c r="F22" s="5" t="s">
        <v>240</v>
      </c>
      <c r="G22" s="5">
        <v>3</v>
      </c>
      <c r="H22" s="1"/>
      <c r="I22" s="15" t="s">
        <v>242</v>
      </c>
      <c r="J22" s="15" t="s">
        <v>243</v>
      </c>
      <c r="K22" s="15">
        <v>4</v>
      </c>
      <c r="L22" s="1" t="s">
        <v>241</v>
      </c>
      <c r="M22" s="1"/>
      <c r="N22" s="1"/>
      <c r="O22" s="1"/>
      <c r="P22" s="1"/>
      <c r="Q22" s="1"/>
      <c r="R22" s="1"/>
      <c r="S22" s="1"/>
      <c r="T22" s="1"/>
    </row>
    <row r="23" spans="1:20" ht="25.25" customHeight="1" x14ac:dyDescent="0.2">
      <c r="A23" s="1"/>
      <c r="B23" s="1"/>
      <c r="C23" s="1"/>
      <c r="D23" s="1"/>
      <c r="E23" s="15" t="s">
        <v>158</v>
      </c>
      <c r="F23" s="15" t="s">
        <v>171</v>
      </c>
      <c r="G23" s="15">
        <v>3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25.25" customHeight="1" x14ac:dyDescent="0.2">
      <c r="A24" s="1"/>
      <c r="B24" s="1"/>
      <c r="C24" s="1"/>
      <c r="D24" s="1"/>
      <c r="E24" s="15" t="s">
        <v>191</v>
      </c>
      <c r="F24" s="15" t="s">
        <v>70</v>
      </c>
      <c r="G24" s="15">
        <v>3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25.25" customHeight="1" x14ac:dyDescent="0.2">
      <c r="A25" s="1"/>
      <c r="B25" s="1"/>
      <c r="C25" s="1"/>
      <c r="D25" s="1"/>
      <c r="E25" s="15" t="s">
        <v>198</v>
      </c>
      <c r="F25" s="15" t="s">
        <v>199</v>
      </c>
      <c r="G25" s="15">
        <v>1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25.25" customHeight="1" x14ac:dyDescent="0.2">
      <c r="A26" s="1"/>
      <c r="B26" s="1"/>
      <c r="C26" s="1"/>
      <c r="D26" s="1"/>
      <c r="H26" s="1"/>
      <c r="I26" s="50" t="s">
        <v>178</v>
      </c>
      <c r="J26" s="50"/>
      <c r="K26" s="30" t="s">
        <v>2</v>
      </c>
      <c r="L26" s="1"/>
      <c r="M26" s="1"/>
      <c r="N26" s="1"/>
      <c r="O26" s="1"/>
      <c r="P26" s="1"/>
      <c r="Q26" s="1"/>
      <c r="R26" s="1"/>
      <c r="S26" s="1"/>
      <c r="T26" s="1"/>
    </row>
    <row r="27" spans="1:20" ht="25.25" customHeight="1" x14ac:dyDescent="0.2">
      <c r="A27" s="1"/>
      <c r="B27" s="1"/>
      <c r="C27" s="1"/>
      <c r="D27" s="1"/>
      <c r="E27" s="1"/>
      <c r="F27" s="1"/>
      <c r="G27" s="1"/>
      <c r="H27" s="1"/>
      <c r="I27" s="34" t="s">
        <v>0</v>
      </c>
      <c r="J27" s="29" t="s">
        <v>1</v>
      </c>
      <c r="K27" s="31">
        <f>SUM(K28:K36)</f>
        <v>7</v>
      </c>
      <c r="L27" s="1"/>
      <c r="M27" s="1"/>
      <c r="N27" s="1"/>
      <c r="O27" s="1"/>
      <c r="P27" s="1"/>
      <c r="Q27" s="1"/>
      <c r="R27" s="1"/>
      <c r="S27" s="1"/>
      <c r="T27" s="1"/>
    </row>
    <row r="28" spans="1:20" ht="25.25" customHeight="1" x14ac:dyDescent="0.2">
      <c r="A28" s="1"/>
      <c r="B28" s="1"/>
      <c r="C28" s="1"/>
      <c r="D28" s="1"/>
      <c r="E28" s="1"/>
      <c r="F28" s="1"/>
      <c r="G28" s="1"/>
      <c r="H28" s="1"/>
      <c r="I28" s="36" t="s">
        <v>108</v>
      </c>
      <c r="J28" s="36" t="s">
        <v>109</v>
      </c>
      <c r="K28" s="36">
        <v>4</v>
      </c>
      <c r="L28" s="1"/>
      <c r="M28" s="1"/>
      <c r="N28" s="1"/>
      <c r="O28" s="1"/>
      <c r="P28" s="1"/>
      <c r="Q28" s="1"/>
      <c r="R28" s="1"/>
      <c r="S28" s="1"/>
      <c r="T28" s="1"/>
    </row>
    <row r="29" spans="1:20" ht="25.25" customHeight="1" x14ac:dyDescent="0.2">
      <c r="A29" s="1"/>
      <c r="B29" s="1"/>
      <c r="C29" s="1"/>
      <c r="D29" s="1"/>
      <c r="E29" s="1"/>
      <c r="F29" s="1"/>
      <c r="G29" s="1"/>
      <c r="H29" s="1"/>
      <c r="I29" s="35" t="s">
        <v>90</v>
      </c>
      <c r="J29" s="35" t="s">
        <v>91</v>
      </c>
      <c r="K29" s="35">
        <v>3</v>
      </c>
      <c r="L29" s="1"/>
      <c r="M29" s="1"/>
      <c r="N29" s="1"/>
      <c r="O29" s="1"/>
      <c r="P29" s="1"/>
      <c r="Q29" s="1"/>
      <c r="R29" s="1"/>
      <c r="S29" s="1"/>
      <c r="T29" s="1"/>
    </row>
    <row r="30" spans="1:20" ht="25.25" customHeight="1" x14ac:dyDescent="0.2">
      <c r="A30" s="1"/>
      <c r="B30" s="1"/>
      <c r="C30" s="1"/>
      <c r="D30" s="1"/>
      <c r="E30" s="1"/>
      <c r="F30" s="1"/>
      <c r="G30" s="1"/>
      <c r="H30" s="1"/>
      <c r="I30" s="5"/>
      <c r="J30" s="5"/>
      <c r="K30" s="5"/>
      <c r="L30" s="1"/>
      <c r="M30" s="1"/>
      <c r="N30" s="1"/>
      <c r="O30" s="1"/>
      <c r="P30" s="1"/>
      <c r="Q30" s="1"/>
      <c r="R30" s="1"/>
      <c r="S30" s="1"/>
      <c r="T30" s="1"/>
    </row>
    <row r="31" spans="1:20" ht="25.25" customHeight="1" x14ac:dyDescent="0.2">
      <c r="A31" s="1"/>
      <c r="B31" s="1"/>
      <c r="C31" s="1"/>
      <c r="D31" s="1"/>
      <c r="E31" s="1"/>
      <c r="F31" s="1"/>
      <c r="G31" s="1"/>
      <c r="H31" s="1"/>
      <c r="I31" s="20"/>
      <c r="J31" s="20"/>
      <c r="K31" s="20"/>
      <c r="L31" s="1"/>
      <c r="M31" s="1"/>
      <c r="N31" s="1"/>
      <c r="O31" s="1"/>
      <c r="P31" s="1"/>
      <c r="Q31" s="1"/>
      <c r="R31" s="1"/>
      <c r="S31" s="1"/>
      <c r="T31" s="1"/>
    </row>
    <row r="32" spans="1:20" ht="25.25" customHeight="1" x14ac:dyDescent="0.2">
      <c r="A32" s="1"/>
      <c r="B32" s="1"/>
      <c r="C32" s="1"/>
      <c r="D32" s="1"/>
      <c r="E32" s="1"/>
      <c r="F32" s="1"/>
      <c r="G32" s="1"/>
      <c r="H32" s="1"/>
      <c r="I32" s="5"/>
      <c r="J32" s="5"/>
      <c r="K32" s="5"/>
      <c r="L32" s="1"/>
      <c r="M32" s="1"/>
      <c r="N32" s="1"/>
      <c r="O32" s="1"/>
      <c r="P32" s="1"/>
      <c r="Q32" s="1"/>
      <c r="R32" s="1"/>
      <c r="S32" s="1"/>
      <c r="T32" s="1"/>
    </row>
    <row r="33" spans="1:20" ht="25.25" customHeight="1" x14ac:dyDescent="0.2">
      <c r="A33" s="1"/>
      <c r="B33" s="1"/>
      <c r="C33" s="1"/>
      <c r="D33" s="1"/>
      <c r="E33" s="1"/>
      <c r="F33" s="1"/>
      <c r="G33" s="1"/>
      <c r="H33" s="1"/>
      <c r="I33" s="15"/>
      <c r="J33" s="15"/>
      <c r="K33" s="15"/>
      <c r="L33" s="1"/>
      <c r="M33" s="1"/>
      <c r="N33" s="1"/>
      <c r="O33" s="1"/>
      <c r="P33" s="1"/>
      <c r="Q33" s="1"/>
      <c r="R33" s="1"/>
      <c r="S33" s="1"/>
      <c r="T33" s="1"/>
    </row>
    <row r="34" spans="1:20" ht="25.2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25.2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25.2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25.2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25.25" customHeight="1" x14ac:dyDescent="0.2">
      <c r="A38" s="1"/>
      <c r="B38" s="1"/>
      <c r="C38" s="1"/>
      <c r="D38" s="1"/>
      <c r="E38" s="1"/>
      <c r="F38" s="1"/>
      <c r="G38" s="1"/>
      <c r="H38" s="1"/>
      <c r="I38" s="50" t="s">
        <v>179</v>
      </c>
      <c r="J38" s="50"/>
      <c r="K38" s="30" t="s">
        <v>2</v>
      </c>
      <c r="L38" s="1"/>
      <c r="M38" s="1"/>
      <c r="N38" s="1"/>
      <c r="O38" s="1"/>
      <c r="P38" s="1"/>
      <c r="Q38" s="1"/>
      <c r="R38" s="1"/>
      <c r="S38" s="1"/>
      <c r="T38" s="1"/>
    </row>
    <row r="39" spans="1:20" ht="25.25" customHeight="1" x14ac:dyDescent="0.2">
      <c r="A39" s="1"/>
      <c r="B39" s="1"/>
      <c r="C39" s="1"/>
      <c r="D39" s="1"/>
      <c r="E39" s="1"/>
      <c r="F39" s="1"/>
      <c r="G39" s="1"/>
      <c r="H39" s="1"/>
      <c r="I39" s="34" t="s">
        <v>0</v>
      </c>
      <c r="J39" s="29" t="s">
        <v>1</v>
      </c>
      <c r="K39" s="31">
        <f>SUM(K40:K49)</f>
        <v>0</v>
      </c>
      <c r="L39" s="1"/>
      <c r="M39" s="1"/>
      <c r="N39" s="1"/>
      <c r="O39" s="1"/>
      <c r="P39" s="1"/>
      <c r="Q39" s="1"/>
      <c r="R39" s="1"/>
      <c r="S39" s="1"/>
      <c r="T39" s="1"/>
    </row>
    <row r="40" spans="1:20" ht="25.25" customHeight="1" x14ac:dyDescent="0.2">
      <c r="A40" s="1"/>
      <c r="B40" s="1"/>
      <c r="C40" s="1"/>
      <c r="D40" s="1"/>
      <c r="E40" s="1"/>
      <c r="F40" s="1"/>
      <c r="G40" s="1"/>
      <c r="H40" s="1"/>
      <c r="I40" s="15"/>
      <c r="J40" s="15"/>
      <c r="K40" s="15"/>
      <c r="L40" s="1"/>
      <c r="M40" s="1"/>
      <c r="N40" s="1"/>
      <c r="O40" s="1"/>
      <c r="P40" s="1"/>
      <c r="Q40" s="1"/>
      <c r="R40" s="1"/>
      <c r="S40" s="1"/>
      <c r="T40" s="1"/>
    </row>
    <row r="41" spans="1:20" ht="25.25" customHeight="1" x14ac:dyDescent="0.2">
      <c r="A41" s="1"/>
      <c r="B41" s="1"/>
      <c r="C41" s="1"/>
      <c r="D41" s="1"/>
      <c r="E41" s="1"/>
      <c r="F41" s="1"/>
      <c r="G41" s="1"/>
      <c r="H41" s="1"/>
      <c r="I41" s="15"/>
      <c r="J41" s="15"/>
      <c r="K41" s="15"/>
      <c r="L41" s="1"/>
      <c r="M41" s="1"/>
      <c r="N41" s="1"/>
      <c r="O41" s="1"/>
      <c r="P41" s="1"/>
      <c r="Q41" s="1"/>
      <c r="R41" s="1"/>
      <c r="S41" s="1"/>
      <c r="T41" s="1"/>
    </row>
    <row r="42" spans="1:20" ht="25.25" customHeight="1" x14ac:dyDescent="0.2">
      <c r="A42" s="1"/>
      <c r="B42" s="1"/>
      <c r="C42" s="1"/>
      <c r="D42" s="1"/>
      <c r="E42" s="1"/>
      <c r="F42" s="1"/>
      <c r="G42" s="1"/>
      <c r="H42" s="1"/>
      <c r="I42" s="5"/>
      <c r="J42" s="5"/>
      <c r="K42" s="5"/>
      <c r="L42" s="1"/>
      <c r="M42" s="1"/>
      <c r="N42" s="1"/>
      <c r="O42" s="1"/>
      <c r="P42" s="1"/>
      <c r="Q42" s="1"/>
      <c r="R42" s="1"/>
      <c r="S42" s="1"/>
      <c r="T42" s="1"/>
    </row>
    <row r="43" spans="1:20" ht="25.25" customHeight="1" x14ac:dyDescent="0.2">
      <c r="A43" s="1"/>
      <c r="B43" s="1"/>
      <c r="C43" s="1"/>
      <c r="D43" s="1"/>
      <c r="E43" s="1"/>
      <c r="F43" s="1"/>
      <c r="G43" s="1"/>
      <c r="H43" s="1"/>
      <c r="I43" s="15"/>
      <c r="J43" s="15"/>
      <c r="K43" s="15"/>
      <c r="L43" s="1"/>
      <c r="M43" s="1"/>
      <c r="N43" s="1"/>
      <c r="O43" s="1"/>
      <c r="P43" s="1"/>
      <c r="Q43" s="1"/>
      <c r="R43" s="1"/>
      <c r="S43" s="1"/>
      <c r="T43" s="1"/>
    </row>
    <row r="44" spans="1:20" ht="25.25" customHeight="1" x14ac:dyDescent="0.2">
      <c r="A44" s="1"/>
      <c r="B44" s="1"/>
      <c r="C44" s="1"/>
      <c r="D44" s="1"/>
      <c r="E44" s="1"/>
      <c r="F44" s="1"/>
      <c r="G44" s="1"/>
      <c r="H44" s="1"/>
      <c r="I44" s="5"/>
      <c r="J44" s="5"/>
      <c r="K44" s="5"/>
      <c r="L44" s="1"/>
      <c r="M44" s="1"/>
      <c r="N44" s="1"/>
      <c r="O44" s="1"/>
      <c r="P44" s="1"/>
      <c r="Q44" s="1"/>
      <c r="R44" s="1"/>
      <c r="S44" s="1"/>
      <c r="T44" s="1"/>
    </row>
    <row r="45" spans="1:20" ht="25.25" customHeight="1" x14ac:dyDescent="0.2">
      <c r="A45" s="1"/>
      <c r="B45" s="1"/>
      <c r="C45" s="1"/>
      <c r="D45" s="1"/>
      <c r="E45" s="1"/>
      <c r="F45" s="1"/>
      <c r="G45" s="1"/>
      <c r="H45" s="1"/>
      <c r="I45" s="15"/>
      <c r="J45" s="15"/>
      <c r="K45" s="15"/>
      <c r="L45" s="1"/>
      <c r="M45" s="1"/>
      <c r="N45" s="1"/>
      <c r="O45" s="1"/>
      <c r="P45" s="1"/>
      <c r="Q45" s="1"/>
      <c r="R45" s="1"/>
      <c r="S45" s="1"/>
      <c r="T45" s="1"/>
    </row>
    <row r="46" spans="1:20" ht="25.2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25.2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25.2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25.2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25.2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25.2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25.2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25.2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25.2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25.2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25.2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25.2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25.2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25.2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25.2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25.2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25.2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25.2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25.2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25.2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25.2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25.2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25.2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25.2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25.2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25.2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25.2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25.2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25.2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25.2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25.2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25.2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25.2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25.2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25.2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25.2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25.2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25.2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25.2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25.2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25.2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25.2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25.2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25.2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25.2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25.2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25.2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25.2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25.2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25.2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25.2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25.2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25.2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25.2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25.2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25.2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25.2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25.2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25.2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25.2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25.2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25.2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25.2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25.2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25.2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25.2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25.2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25.2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25.2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25.2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25.2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25.2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25.2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25.2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25.2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25.2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25.2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25.2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25.2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25.2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25.2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25.2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25.2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25.2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25.2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25.2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25.2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25.2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25.2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25.2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25.2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25.2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25.2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25.2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25.2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25.2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25.2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25.2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25.2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25.2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25.2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25.2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25.2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25.2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25.2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25.2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25.2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25.2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25.2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25.2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25.2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25.2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25.2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25.2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25.2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25.2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25.2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25.2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25.2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25.2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25.2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25.2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25.2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25.2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25.2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25.2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25.2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25.2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25.2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25.2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25.2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25.2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25.2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25.2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25.2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25.2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25.2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25.2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25.2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25.2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25.2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25.2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25.2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25.2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25.2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25.2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25.2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25.2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25.2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25.2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25.2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25.2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25.2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25.2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25.2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25.2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25.2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25.2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25.2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25.2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25.2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25.2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25.2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25.2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25.2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25.2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25.2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25.2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25.2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25.2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25.2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25.2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25.2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25.2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25.2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25.2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25.2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25.2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25.2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25.2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25.2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25.2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25.2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25.2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25.2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25.2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25.2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25.2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25.2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25.2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25.2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25.2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25.2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25.2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25.2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25.2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25.2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25.2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25.2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25.2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25.2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25.2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25.2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25.2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25.2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25.2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25.2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25.2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25.2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25.2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25.2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25.2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25.2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25.2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ht="25.2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ht="25.2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ht="25.2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ht="25.2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ht="25.2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25.2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ht="25.2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ht="25.2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ht="25.2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25.2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ht="25.2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ht="25.2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ht="25.2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ht="25.2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ht="25.2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ht="25.2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ht="25.2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25.2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ht="25.2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25.2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25.2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25.2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25.2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25.2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25.2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25.2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25.2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25.2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25.2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25.2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25.2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t="25.2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25.2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ht="25.2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ht="25.2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ht="25.2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ht="25.2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ht="25.2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ht="25.2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ht="25.2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ht="25.2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ht="25.2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ht="25.2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ht="25.2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ht="25.2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ht="25.2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ht="25.2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ht="25.2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ht="25.2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ht="25.2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ht="25.2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ht="25.2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ht="25.2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ht="25.2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ht="25.2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ht="25.2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ht="25.2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ht="25.2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ht="25.2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ht="25.2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25.2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ht="25.2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ht="25.2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ht="25.2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ht="25.2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25.2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ht="25.2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ht="25.2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ht="25.2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ht="25.2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ht="25.2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ht="25.2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ht="25.2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ht="25.2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ht="25.2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ht="25.2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ht="25.2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ht="25.2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ht="25.2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ht="25.2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ht="25.2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ht="25.2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ht="25.2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ht="25.2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ht="25.2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ht="25.2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ht="25.2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ht="25.2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ht="25.2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ht="25.2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ht="25.2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ht="25.2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ht="25.2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ht="25.2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ht="25.2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ht="25.2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ht="25.2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ht="25.2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ht="25.2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ht="25.2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ht="25.2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ht="25.2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ht="25.2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ht="25.2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ht="25.2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ht="25.2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ht="25.2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ht="25.2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ht="25.2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ht="25.2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ht="25.2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ht="25.2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ht="25.2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ht="25.2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ht="25.2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ht="25.2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ht="25.2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ht="25.2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ht="25.2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ht="25.2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ht="25.2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ht="25.2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ht="25.2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ht="25.2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ht="25.2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ht="25.2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ht="25.2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ht="25.2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ht="25.2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ht="25.2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ht="25.2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ht="25.2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ht="25.2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ht="25.2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ht="25.2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ht="25.2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ht="25.2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ht="25.2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ht="25.2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ht="25.2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ht="25.2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ht="25.2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ht="25.2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ht="25.2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ht="25.2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ht="25.2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ht="25.2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ht="25.2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ht="25.2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ht="25.2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ht="25.2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ht="25.2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ht="25.2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ht="25.2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ht="25.2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ht="25.2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ht="25.2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ht="25.2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ht="25.2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ht="25.2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ht="25.2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ht="25.2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ht="25.2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ht="25.2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ht="25.2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ht="25.2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ht="25.2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ht="25.2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ht="25.2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ht="25.2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ht="25.2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ht="25.2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ht="25.2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ht="25.2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ht="25.2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ht="25.2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ht="25.2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ht="25.2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ht="25.2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ht="25.2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ht="25.2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ht="25.2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ht="25.2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ht="25.2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ht="25.2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ht="25.2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ht="25.2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ht="25.2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ht="25.2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ht="25.2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ht="25.2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ht="25.2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ht="25.2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ht="25.2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ht="25.2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ht="25.2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ht="25.2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ht="25.2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ht="25.2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ht="25.2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ht="25.2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ht="25.2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ht="25.2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ht="25.2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ht="25.2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ht="25.2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ht="25.2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ht="25.2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ht="25.2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ht="25.2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ht="25.2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ht="25.2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ht="25.2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ht="25.2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ht="25.2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ht="25.2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ht="25.2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ht="25.2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ht="25.2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ht="25.2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ht="25.2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ht="25.2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ht="25.2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ht="25.2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ht="25.2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ht="25.2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ht="25.2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ht="25.2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ht="25.2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ht="25.2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ht="25.2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ht="25.2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ht="25.2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ht="25.2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ht="25.2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ht="25.2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ht="25.2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ht="25.2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ht="25.2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ht="25.2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ht="25.2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ht="25.2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ht="25.2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ht="25.2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ht="25.2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ht="25.2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ht="25.2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ht="25.2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ht="25.2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ht="25.2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ht="25.2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ht="25.2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ht="25.2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ht="25.2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ht="25.2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ht="25.2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ht="25.2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ht="25.2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ht="25.2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ht="25.2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ht="25.2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ht="25.2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ht="25.2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ht="25.2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ht="25.2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ht="25.2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ht="25.2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ht="25.2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ht="25.2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ht="25.2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ht="25.2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ht="25.2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ht="25.2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ht="25.2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ht="25.2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ht="25.2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ht="25.2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ht="25.2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ht="25.2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ht="25.2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ht="25.2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ht="25.2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ht="25.2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ht="25.2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ht="25.2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ht="25.2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ht="25.2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ht="25.2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ht="25.2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ht="25.2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ht="25.2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ht="25.2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ht="25.2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ht="25.2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ht="25.2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ht="25.2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ht="25.2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ht="25.2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ht="25.2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ht="25.2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ht="25.2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ht="25.2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ht="25.2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ht="25.2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ht="25.2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ht="25.2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ht="25.2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ht="25.2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ht="25.2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ht="25.2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ht="25.2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ht="25.2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ht="25.2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ht="25.2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ht="25.2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ht="25.2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ht="25.2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ht="25.2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ht="25.2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ht="25.2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ht="25.2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ht="25.2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ht="25.2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ht="25.2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ht="25.2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ht="25.2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ht="25.2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ht="25.2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ht="25.2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ht="25.2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ht="25.2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ht="25.2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ht="25.2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ht="25.2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ht="25.2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ht="25.2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ht="25.2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ht="25.2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ht="25.2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ht="25.2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ht="25.2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ht="25.2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ht="25.2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ht="25.2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ht="25.2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ht="25.2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ht="25.2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ht="25.2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ht="25.2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ht="25.2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ht="25.2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ht="25.2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ht="25.2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ht="25.2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ht="25.2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ht="25.2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ht="25.2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ht="25.2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ht="25.2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ht="25.2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ht="25.2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ht="25.2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ht="25.2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ht="25.2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ht="25.2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ht="25.2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ht="25.2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ht="25.2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ht="25.2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ht="25.2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ht="25.2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ht="25.2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ht="25.2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ht="25.2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ht="25.2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ht="25.2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ht="25.2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ht="25.2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ht="25.2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ht="25.2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ht="25.2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ht="25.2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ht="25.2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ht="25.2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ht="25.2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ht="25.2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ht="25.2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ht="25.2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ht="25.2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ht="25.2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ht="25.2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ht="25.2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ht="25.2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ht="25.2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ht="25.2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ht="25.2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ht="25.2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ht="25.2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ht="25.2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ht="25.2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ht="25.2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ht="25.2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ht="25.2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ht="25.2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ht="25.2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ht="25.2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ht="25.2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ht="25.2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ht="25.2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ht="25.2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ht="25.2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ht="25.2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ht="25.2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ht="25.2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ht="25.2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ht="25.2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ht="25.2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ht="25.2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ht="25.2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ht="25.2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ht="25.2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ht="25.2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ht="25.2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ht="25.2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ht="25.2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ht="25.2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ht="25.2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ht="25.2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ht="25.2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ht="25.2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ht="25.2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ht="25.2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ht="25.2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ht="25.2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ht="25.2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ht="25.2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ht="25.2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ht="25.2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ht="25.2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ht="25.2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ht="25.2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ht="25.2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ht="25.2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ht="25.2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ht="25.2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ht="25.2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ht="25.2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ht="25.2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ht="25.2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ht="25.2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ht="25.2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ht="25.2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ht="25.2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ht="25.2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ht="25.2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ht="25.2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ht="25.2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ht="25.2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ht="25.2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ht="25.2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ht="25.2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ht="25.2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ht="25.2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ht="25.2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ht="25.2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ht="25.2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ht="25.2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ht="25.2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ht="25.2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ht="25.2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ht="25.2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ht="25.2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ht="25.2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ht="25.2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ht="25.2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ht="25.2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ht="25.2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ht="25.2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ht="25.2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ht="25.2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ht="25.2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ht="25.2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ht="25.2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ht="25.2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ht="25.2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ht="25.2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ht="25.2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ht="25.2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ht="25.2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ht="25.2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ht="25.2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ht="25.2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ht="25.2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ht="25.2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ht="25.2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ht="25.2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ht="25.2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ht="25.2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ht="25.2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ht="25.2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ht="25.2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ht="25.2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ht="25.2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ht="25.2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ht="25.2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ht="25.2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ht="25.2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ht="25.2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ht="25.2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ht="25.2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ht="25.2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ht="25.2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ht="25.2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ht="25.2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ht="25.2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ht="25.2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ht="25.2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ht="25.2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ht="25.2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ht="25.2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ht="25.2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ht="25.2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ht="25.2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ht="25.2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ht="25.2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ht="25.2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ht="25.2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ht="25.2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ht="25.2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ht="25.2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ht="25.2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ht="25.2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ht="25.2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ht="25.2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ht="25.2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ht="25.2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ht="25.2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ht="25.2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ht="25.2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ht="25.2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ht="25.2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ht="25.2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ht="25.2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ht="25.2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ht="25.2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ht="25.2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ht="25.2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ht="25.2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ht="25.2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ht="25.2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ht="25.2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ht="25.2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ht="25.2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ht="25.2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ht="25.2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ht="25.2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ht="25.2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ht="25.2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ht="25.2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ht="25.2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ht="25.2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ht="25.2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ht="25.2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ht="25.2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ht="25.2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ht="25.2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ht="25.2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ht="25.2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ht="25.2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ht="25.2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ht="25.2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ht="25.2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ht="25.2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ht="25.2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ht="25.2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ht="25.2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ht="25.2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ht="25.2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ht="25.2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ht="25.2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ht="25.2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ht="25.2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ht="25.2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ht="25.2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ht="25.2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ht="25.2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ht="25.2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ht="25.2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ht="25.2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ht="25.2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ht="25.2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ht="25.2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ht="25.2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ht="25.2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ht="25.2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ht="25.2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ht="25.2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ht="25.2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ht="25.2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ht="25.2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ht="25.2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ht="25.2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ht="25.2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ht="25.2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ht="25.2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ht="25.2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ht="25.2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ht="25.2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ht="25.2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ht="25.2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ht="25.2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ht="25.2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ht="25.2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ht="25.2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ht="25.2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ht="25.2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ht="25.2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ht="25.2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ht="25.2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ht="25.2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ht="25.2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ht="25.2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ht="25.2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ht="25.2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ht="25.2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ht="25.2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ht="25.2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ht="25.2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ht="25.2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ht="25.2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ht="25.2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ht="25.2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ht="25.2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ht="25.2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ht="25.2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ht="25.2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ht="25.2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ht="25.2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ht="25.2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ht="25.2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ht="25.2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ht="25.2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ht="25.2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ht="25.2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ht="25.2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ht="25.2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ht="25.2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ht="25.2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ht="25.2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ht="25.2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ht="25.2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ht="25.2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ht="25.2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ht="25.2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ht="25.2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ht="25.2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ht="25.2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ht="25.2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ht="25.2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ht="25.2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ht="25.2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ht="25.2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ht="25.2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ht="25.2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ht="25.2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ht="25.2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ht="25.2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ht="25.2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ht="25.2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ht="25.2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ht="25.2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ht="25.2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ht="25.2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ht="25.2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ht="25.2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ht="25.2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ht="25.2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ht="25.2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ht="25.2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ht="25.2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ht="25.2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ht="25.2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ht="25.2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ht="25.2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ht="25.2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ht="25.2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ht="25.2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ht="25.2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ht="25.2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ht="25.2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ht="25.2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ht="25.2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ht="25.2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ht="25.2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ht="25.2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ht="25.2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ht="25.2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ht="25.2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ht="25.2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ht="25.2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ht="25.2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ht="25.2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ht="25.2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ht="25.2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ht="25.2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ht="25.2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ht="25.2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ht="25.2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ht="25.2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ht="25.2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ht="25.2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ht="25.2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ht="25.2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ht="25.2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ht="25.2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ht="25.2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ht="25.2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ht="25.2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ht="25.2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ht="25.2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ht="25.2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ht="25.2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ht="25.2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ht="25.2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ht="25.2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ht="25.2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ht="25.2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ht="25.2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ht="25.2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ht="25.2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ht="25.2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ht="25.2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ht="25.2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 ht="25.2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ht="25.2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ht="25.2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 ht="25.2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 ht="25.2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</sheetData>
  <mergeCells count="7">
    <mergeCell ref="A1:G1"/>
    <mergeCell ref="I38:J38"/>
    <mergeCell ref="A2:B2"/>
    <mergeCell ref="E2:F2"/>
    <mergeCell ref="I2:J2"/>
    <mergeCell ref="I14:J14"/>
    <mergeCell ref="I26:J26"/>
  </mergeCells>
  <pageMargins left="0.7" right="0.7" top="0.75" bottom="0.75" header="0.3" footer="0.3"/>
  <pageSetup paperSize="9" scale="44" orientation="landscape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S989"/>
  <sheetViews>
    <sheetView zoomScale="90" zoomScaleNormal="90" workbookViewId="0">
      <selection activeCell="B25" sqref="B25"/>
    </sheetView>
  </sheetViews>
  <sheetFormatPr baseColWidth="10" defaultColWidth="12.6640625" defaultRowHeight="25.25" customHeight="1" x14ac:dyDescent="0.2"/>
  <cols>
    <col min="1" max="1" width="12.6640625" style="2"/>
    <col min="2" max="2" width="40.6640625" style="2" customWidth="1"/>
    <col min="3" max="3" width="12.6640625" style="2"/>
    <col min="4" max="4" width="5.1640625" style="2" customWidth="1"/>
    <col min="5" max="5" width="20.5" style="2" customWidth="1"/>
    <col min="6" max="6" width="52.5" style="2" customWidth="1"/>
    <col min="7" max="7" width="12.6640625" style="2"/>
    <col min="8" max="8" width="5.1640625" style="2" customWidth="1"/>
    <col min="9" max="9" width="12.6640625" style="2"/>
    <col min="10" max="10" width="38" style="2" customWidth="1"/>
    <col min="11" max="16384" width="12.6640625" style="2"/>
  </cols>
  <sheetData>
    <row r="1" spans="1:19" ht="25.25" customHeight="1" thickBot="1" x14ac:dyDescent="0.25">
      <c r="A1" s="54" t="s">
        <v>217</v>
      </c>
      <c r="B1" s="54"/>
      <c r="C1" s="54"/>
      <c r="D1" s="54"/>
      <c r="E1" s="54"/>
      <c r="F1" s="54"/>
      <c r="G1" s="54"/>
    </row>
    <row r="2" spans="1:19" ht="25.25" customHeight="1" thickTop="1" x14ac:dyDescent="0.2">
      <c r="A2" s="50" t="s">
        <v>162</v>
      </c>
      <c r="B2" s="50"/>
      <c r="C2" s="30" t="s">
        <v>2</v>
      </c>
      <c r="D2" s="1"/>
      <c r="E2" s="58" t="s">
        <v>159</v>
      </c>
      <c r="F2" s="64"/>
      <c r="G2" s="30" t="s">
        <v>2</v>
      </c>
      <c r="H2" s="1"/>
      <c r="I2" s="50" t="s">
        <v>176</v>
      </c>
      <c r="J2" s="50"/>
      <c r="K2" s="30" t="s">
        <v>2</v>
      </c>
      <c r="L2" s="1"/>
      <c r="M2" s="1"/>
      <c r="N2" s="1"/>
      <c r="O2" s="1"/>
      <c r="P2" s="1"/>
      <c r="Q2" s="1"/>
      <c r="R2" s="1"/>
      <c r="S2" s="1"/>
    </row>
    <row r="3" spans="1:19" ht="25.25" customHeight="1" x14ac:dyDescent="0.2">
      <c r="A3" s="34" t="s">
        <v>0</v>
      </c>
      <c r="B3" s="29" t="s">
        <v>1</v>
      </c>
      <c r="C3" s="31">
        <f>SUM(C4:C27)</f>
        <v>36</v>
      </c>
      <c r="D3" s="1"/>
      <c r="E3" s="33" t="s">
        <v>0</v>
      </c>
      <c r="F3" s="19" t="s">
        <v>1</v>
      </c>
      <c r="G3" s="32">
        <f>SUM(G4:G27)</f>
        <v>72</v>
      </c>
      <c r="H3" s="12"/>
      <c r="I3" s="34" t="s">
        <v>0</v>
      </c>
      <c r="J3" s="29" t="s">
        <v>1</v>
      </c>
      <c r="K3" s="31">
        <f>SUM(K4:K11)</f>
        <v>21</v>
      </c>
      <c r="L3" s="1"/>
      <c r="M3" s="1"/>
      <c r="N3" s="1"/>
      <c r="O3" s="1"/>
      <c r="P3" s="1"/>
      <c r="Q3" s="1"/>
      <c r="R3" s="1"/>
      <c r="S3" s="1"/>
    </row>
    <row r="4" spans="1:19" ht="25.25" customHeight="1" x14ac:dyDescent="0.2">
      <c r="A4" s="15" t="s">
        <v>59</v>
      </c>
      <c r="B4" s="15" t="s">
        <v>60</v>
      </c>
      <c r="C4" s="15">
        <v>3</v>
      </c>
      <c r="D4" s="1"/>
      <c r="E4" s="15" t="s">
        <v>117</v>
      </c>
      <c r="F4" s="15" t="s">
        <v>89</v>
      </c>
      <c r="G4" s="15">
        <v>4</v>
      </c>
      <c r="H4" s="1"/>
      <c r="I4" s="15" t="s">
        <v>161</v>
      </c>
      <c r="J4" s="15" t="s">
        <v>63</v>
      </c>
      <c r="K4" s="15">
        <v>3</v>
      </c>
      <c r="L4" s="1"/>
      <c r="M4" s="1"/>
      <c r="N4" s="1"/>
      <c r="O4" s="1"/>
      <c r="P4" s="1"/>
      <c r="Q4" s="1"/>
      <c r="R4" s="1"/>
      <c r="S4" s="1"/>
    </row>
    <row r="5" spans="1:19" ht="25.25" customHeight="1" x14ac:dyDescent="0.2">
      <c r="A5" s="15" t="s">
        <v>44</v>
      </c>
      <c r="B5" s="15" t="s">
        <v>45</v>
      </c>
      <c r="C5" s="15">
        <v>3</v>
      </c>
      <c r="D5" s="1"/>
      <c r="E5" s="15" t="s">
        <v>250</v>
      </c>
      <c r="F5" s="15" t="s">
        <v>251</v>
      </c>
      <c r="G5" s="15">
        <v>3</v>
      </c>
      <c r="H5" s="1"/>
      <c r="I5" s="15" t="s">
        <v>219</v>
      </c>
      <c r="J5" s="15" t="s">
        <v>220</v>
      </c>
      <c r="K5" s="15">
        <v>3</v>
      </c>
      <c r="L5" s="1"/>
      <c r="M5" s="1"/>
      <c r="N5" s="1"/>
      <c r="O5" s="1"/>
      <c r="P5" s="1"/>
      <c r="Q5" s="1"/>
      <c r="R5" s="1"/>
      <c r="S5" s="1"/>
    </row>
    <row r="6" spans="1:19" ht="25.25" customHeight="1" x14ac:dyDescent="0.2">
      <c r="A6" s="5" t="s">
        <v>52</v>
      </c>
      <c r="B6" s="5" t="s">
        <v>53</v>
      </c>
      <c r="C6" s="5">
        <v>3</v>
      </c>
      <c r="D6" s="1"/>
      <c r="E6" s="15" t="s">
        <v>67</v>
      </c>
      <c r="F6" s="15" t="s">
        <v>68</v>
      </c>
      <c r="G6" s="15">
        <v>4</v>
      </c>
      <c r="H6" s="1"/>
      <c r="I6" s="15" t="s">
        <v>226</v>
      </c>
      <c r="J6" s="15" t="s">
        <v>225</v>
      </c>
      <c r="K6" s="15">
        <v>3</v>
      </c>
      <c r="L6" s="1"/>
      <c r="M6" s="1"/>
      <c r="N6" s="1"/>
      <c r="O6" s="1"/>
      <c r="P6" s="1"/>
      <c r="Q6" s="1"/>
      <c r="R6" s="1"/>
      <c r="S6" s="1"/>
    </row>
    <row r="7" spans="1:19" ht="25.25" customHeight="1" x14ac:dyDescent="0.2">
      <c r="A7" s="15" t="s">
        <v>157</v>
      </c>
      <c r="B7" s="23" t="s">
        <v>81</v>
      </c>
      <c r="C7" s="27">
        <v>3</v>
      </c>
      <c r="D7" s="1"/>
      <c r="E7" s="15" t="s">
        <v>122</v>
      </c>
      <c r="F7" s="15" t="s">
        <v>123</v>
      </c>
      <c r="G7" s="15">
        <v>3</v>
      </c>
      <c r="H7" s="1"/>
      <c r="I7" s="5" t="s">
        <v>52</v>
      </c>
      <c r="J7" s="5" t="s">
        <v>53</v>
      </c>
      <c r="K7" s="5">
        <v>3</v>
      </c>
      <c r="L7" s="1"/>
      <c r="M7" s="1"/>
      <c r="N7" s="1"/>
      <c r="O7" s="1"/>
      <c r="P7" s="1"/>
      <c r="Q7" s="1"/>
      <c r="R7" s="1"/>
      <c r="S7" s="1"/>
    </row>
    <row r="8" spans="1:19" ht="25.25" customHeight="1" x14ac:dyDescent="0.2">
      <c r="A8" s="15" t="s">
        <v>85</v>
      </c>
      <c r="B8" s="23" t="s">
        <v>86</v>
      </c>
      <c r="C8" s="28">
        <v>3</v>
      </c>
      <c r="D8" s="1"/>
      <c r="E8" s="15"/>
      <c r="F8" s="15"/>
      <c r="G8" s="15"/>
      <c r="H8" s="1"/>
      <c r="I8" s="15" t="s">
        <v>222</v>
      </c>
      <c r="J8" s="15" t="s">
        <v>221</v>
      </c>
      <c r="K8" s="15">
        <v>3</v>
      </c>
      <c r="L8" s="1"/>
      <c r="M8" s="1"/>
      <c r="N8" s="1"/>
      <c r="O8" s="1"/>
      <c r="P8" s="1"/>
      <c r="Q8" s="1"/>
      <c r="R8" s="1"/>
      <c r="S8" s="1"/>
    </row>
    <row r="9" spans="1:19" ht="25.25" customHeight="1" x14ac:dyDescent="0.2">
      <c r="A9" s="15" t="s">
        <v>161</v>
      </c>
      <c r="B9" s="15" t="s">
        <v>63</v>
      </c>
      <c r="C9" s="15">
        <v>3</v>
      </c>
      <c r="D9" s="1"/>
      <c r="E9" s="15" t="s">
        <v>112</v>
      </c>
      <c r="F9" s="15" t="s">
        <v>113</v>
      </c>
      <c r="G9" s="15">
        <v>3</v>
      </c>
      <c r="H9" s="1"/>
      <c r="I9" s="15" t="s">
        <v>180</v>
      </c>
      <c r="J9" s="15"/>
      <c r="K9" s="15">
        <v>3</v>
      </c>
      <c r="L9" s="1"/>
      <c r="M9" s="1"/>
      <c r="N9" s="1"/>
      <c r="O9" s="1"/>
      <c r="P9" s="1"/>
      <c r="Q9" s="1"/>
      <c r="R9" s="1"/>
      <c r="S9" s="1"/>
    </row>
    <row r="10" spans="1:19" ht="25.25" customHeight="1" x14ac:dyDescent="0.2">
      <c r="A10" s="15" t="s">
        <v>56</v>
      </c>
      <c r="B10" s="15" t="s">
        <v>57</v>
      </c>
      <c r="C10" s="15">
        <v>4</v>
      </c>
      <c r="D10" s="1"/>
      <c r="E10" s="15" t="s">
        <v>110</v>
      </c>
      <c r="F10" s="15" t="s">
        <v>111</v>
      </c>
      <c r="G10" s="15">
        <v>4</v>
      </c>
      <c r="H10" s="1"/>
      <c r="I10" s="15" t="s">
        <v>180</v>
      </c>
      <c r="J10" s="15"/>
      <c r="K10" s="15">
        <v>3</v>
      </c>
      <c r="L10" s="1"/>
      <c r="M10" s="1"/>
      <c r="N10" s="1"/>
      <c r="O10" s="1"/>
      <c r="P10" s="1"/>
      <c r="Q10" s="1"/>
      <c r="R10" s="1"/>
      <c r="S10" s="1"/>
    </row>
    <row r="11" spans="1:19" ht="25.25" customHeight="1" x14ac:dyDescent="0.2">
      <c r="A11" s="15" t="s">
        <v>219</v>
      </c>
      <c r="B11" s="15" t="s">
        <v>220</v>
      </c>
      <c r="C11" s="15">
        <v>3</v>
      </c>
      <c r="D11" s="1"/>
      <c r="E11" s="15" t="s">
        <v>129</v>
      </c>
      <c r="F11" s="15" t="s">
        <v>130</v>
      </c>
      <c r="G11" s="15">
        <v>3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25.25" customHeight="1" x14ac:dyDescent="0.2">
      <c r="A12" s="15" t="s">
        <v>226</v>
      </c>
      <c r="B12" s="15" t="s">
        <v>225</v>
      </c>
      <c r="C12" s="15">
        <v>3</v>
      </c>
      <c r="D12" s="1"/>
      <c r="E12" s="15" t="s">
        <v>114</v>
      </c>
      <c r="F12" s="15" t="s">
        <v>84</v>
      </c>
      <c r="G12" s="15">
        <v>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25.25" customHeight="1" x14ac:dyDescent="0.2">
      <c r="A13" s="15" t="s">
        <v>222</v>
      </c>
      <c r="B13" s="15" t="s">
        <v>221</v>
      </c>
      <c r="C13" s="15">
        <v>3</v>
      </c>
      <c r="D13" s="1"/>
      <c r="E13" s="15" t="s">
        <v>148</v>
      </c>
      <c r="F13" s="15" t="s">
        <v>149</v>
      </c>
      <c r="G13" s="15">
        <v>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25.25" customHeight="1" x14ac:dyDescent="0.2">
      <c r="A14" s="15" t="s">
        <v>134</v>
      </c>
      <c r="B14" s="15" t="s">
        <v>135</v>
      </c>
      <c r="C14" s="15">
        <v>4</v>
      </c>
      <c r="D14" s="1"/>
      <c r="E14" s="15" t="s">
        <v>87</v>
      </c>
      <c r="F14" s="15" t="s">
        <v>116</v>
      </c>
      <c r="G14" s="15">
        <v>3</v>
      </c>
      <c r="H14" s="1"/>
      <c r="I14" s="50" t="s">
        <v>177</v>
      </c>
      <c r="J14" s="65"/>
      <c r="K14" s="30" t="s">
        <v>2</v>
      </c>
      <c r="L14" s="1"/>
      <c r="M14" s="1"/>
      <c r="N14" s="1"/>
      <c r="O14" s="1"/>
      <c r="P14" s="1"/>
      <c r="Q14" s="1"/>
      <c r="R14" s="1"/>
      <c r="S14" s="1"/>
    </row>
    <row r="15" spans="1:19" ht="25.25" customHeight="1" x14ac:dyDescent="0.2">
      <c r="A15" s="15" t="s">
        <v>143</v>
      </c>
      <c r="B15" s="15" t="s">
        <v>41</v>
      </c>
      <c r="C15" s="15">
        <v>1</v>
      </c>
      <c r="D15" s="1"/>
      <c r="E15" s="15" t="s">
        <v>155</v>
      </c>
      <c r="F15" s="15" t="s">
        <v>156</v>
      </c>
      <c r="G15" s="15">
        <v>3</v>
      </c>
      <c r="H15" s="1"/>
      <c r="I15" s="34" t="s">
        <v>0</v>
      </c>
      <c r="J15" s="29" t="s">
        <v>1</v>
      </c>
      <c r="K15" s="31">
        <f>SUM(K16:K24)</f>
        <v>15</v>
      </c>
      <c r="L15" s="1"/>
      <c r="M15" s="1"/>
      <c r="N15" s="1"/>
      <c r="O15" s="1"/>
      <c r="P15" s="1"/>
      <c r="Q15" s="1"/>
      <c r="R15" s="1"/>
      <c r="S15" s="1"/>
    </row>
    <row r="16" spans="1:19" ht="25.25" customHeight="1" x14ac:dyDescent="0.2">
      <c r="D16" s="1"/>
      <c r="E16" s="15" t="s">
        <v>152</v>
      </c>
      <c r="F16" s="15" t="s">
        <v>153</v>
      </c>
      <c r="G16" s="15">
        <v>3</v>
      </c>
      <c r="H16" s="1"/>
      <c r="I16" s="15" t="s">
        <v>148</v>
      </c>
      <c r="J16" s="15" t="s">
        <v>149</v>
      </c>
      <c r="K16" s="15">
        <v>3</v>
      </c>
      <c r="L16" s="1"/>
      <c r="M16" s="1"/>
      <c r="N16" s="1"/>
      <c r="O16" s="1"/>
      <c r="P16" s="1"/>
      <c r="Q16" s="1"/>
      <c r="R16" s="1"/>
      <c r="S16" s="1"/>
    </row>
    <row r="17" spans="1:19" ht="25.25" customHeight="1" x14ac:dyDescent="0.2">
      <c r="D17" s="1"/>
      <c r="E17" s="15" t="s">
        <v>146</v>
      </c>
      <c r="F17" s="15" t="s">
        <v>147</v>
      </c>
      <c r="G17" s="15">
        <v>3</v>
      </c>
      <c r="H17" s="1"/>
      <c r="I17" s="15" t="s">
        <v>244</v>
      </c>
      <c r="J17" s="15" t="s">
        <v>245</v>
      </c>
      <c r="K17" s="15">
        <v>3</v>
      </c>
      <c r="L17" s="1"/>
      <c r="M17" s="1"/>
      <c r="N17" s="1"/>
      <c r="O17" s="1"/>
      <c r="P17" s="1"/>
      <c r="Q17" s="1"/>
      <c r="R17" s="1"/>
      <c r="S17" s="1"/>
    </row>
    <row r="18" spans="1:19" ht="25.25" customHeight="1" x14ac:dyDescent="0.2">
      <c r="D18" s="1"/>
      <c r="E18" s="15" t="s">
        <v>64</v>
      </c>
      <c r="F18" s="15" t="s">
        <v>65</v>
      </c>
      <c r="G18" s="15">
        <v>4</v>
      </c>
      <c r="H18" s="1"/>
      <c r="I18" s="5" t="s">
        <v>246</v>
      </c>
      <c r="J18" s="5" t="s">
        <v>247</v>
      </c>
      <c r="K18" s="5">
        <v>3</v>
      </c>
      <c r="L18" s="1"/>
      <c r="M18" s="1"/>
      <c r="N18" s="1"/>
      <c r="O18" s="1"/>
      <c r="P18" s="1"/>
      <c r="Q18" s="1"/>
      <c r="R18" s="1"/>
      <c r="S18" s="1"/>
    </row>
    <row r="19" spans="1:19" ht="25.25" customHeight="1" x14ac:dyDescent="0.2">
      <c r="D19" s="1"/>
      <c r="E19" s="15" t="s">
        <v>160</v>
      </c>
      <c r="F19" s="15" t="s">
        <v>70</v>
      </c>
      <c r="G19" s="15">
        <v>3</v>
      </c>
      <c r="H19" s="1"/>
      <c r="I19" s="15" t="s">
        <v>248</v>
      </c>
      <c r="J19" s="15" t="s">
        <v>249</v>
      </c>
      <c r="K19" s="15">
        <v>3</v>
      </c>
      <c r="L19" s="1"/>
      <c r="M19" s="1"/>
      <c r="N19" s="1"/>
      <c r="O19" s="1"/>
      <c r="P19" s="1"/>
      <c r="Q19" s="1"/>
      <c r="R19" s="1"/>
      <c r="S19" s="1"/>
    </row>
    <row r="20" spans="1:19" ht="25.25" customHeight="1" x14ac:dyDescent="0.2">
      <c r="D20" s="1"/>
      <c r="E20" s="15" t="s">
        <v>223</v>
      </c>
      <c r="F20" s="15" t="s">
        <v>224</v>
      </c>
      <c r="G20" s="15">
        <v>3</v>
      </c>
      <c r="H20" s="1"/>
      <c r="I20" s="15" t="s">
        <v>250</v>
      </c>
      <c r="J20" s="15" t="s">
        <v>251</v>
      </c>
      <c r="K20" s="15">
        <v>3</v>
      </c>
      <c r="L20" s="1"/>
      <c r="M20" s="1"/>
      <c r="N20" s="1"/>
      <c r="O20" s="1"/>
      <c r="P20" s="1"/>
      <c r="Q20" s="1"/>
      <c r="R20" s="1"/>
      <c r="S20" s="1"/>
    </row>
    <row r="21" spans="1:19" ht="25.25" customHeight="1" x14ac:dyDescent="0.2">
      <c r="D21" s="1"/>
      <c r="E21" s="15" t="s">
        <v>143</v>
      </c>
      <c r="F21" s="15" t="s">
        <v>41</v>
      </c>
      <c r="G21" s="15">
        <v>1</v>
      </c>
      <c r="H21" s="1"/>
      <c r="I21" s="15" t="s">
        <v>241</v>
      </c>
      <c r="J21" s="15"/>
      <c r="K21" s="15"/>
      <c r="L21" s="1"/>
      <c r="M21" s="1"/>
      <c r="N21" s="1"/>
      <c r="O21" s="1"/>
      <c r="P21" s="1"/>
      <c r="Q21" s="1"/>
      <c r="R21" s="1"/>
      <c r="S21" s="1"/>
    </row>
    <row r="22" spans="1:19" ht="25.25" customHeight="1" x14ac:dyDescent="0.2">
      <c r="D22" s="1"/>
      <c r="E22" s="15" t="s">
        <v>244</v>
      </c>
      <c r="F22" s="15" t="s">
        <v>245</v>
      </c>
      <c r="G22" s="15">
        <v>3</v>
      </c>
      <c r="H22" s="1"/>
      <c r="I22" s="15" t="s">
        <v>241</v>
      </c>
      <c r="J22" s="15"/>
      <c r="K22" s="15"/>
      <c r="L22" s="1"/>
      <c r="M22" s="1"/>
      <c r="N22" s="1"/>
      <c r="O22" s="1"/>
      <c r="P22" s="1"/>
      <c r="Q22" s="1"/>
      <c r="R22" s="1"/>
      <c r="S22" s="1"/>
    </row>
    <row r="23" spans="1:19" ht="25.25" customHeight="1" x14ac:dyDescent="0.2">
      <c r="A23" s="1"/>
      <c r="B23" s="1"/>
      <c r="C23" s="1"/>
      <c r="D23" s="1"/>
      <c r="E23" s="20" t="s">
        <v>167</v>
      </c>
      <c r="F23" s="20" t="s">
        <v>55</v>
      </c>
      <c r="G23" s="20">
        <v>3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25.25" customHeight="1" x14ac:dyDescent="0.2">
      <c r="A24" s="1"/>
      <c r="B24" s="1"/>
      <c r="C24" s="1"/>
      <c r="D24" s="1"/>
      <c r="E24" s="5" t="s">
        <v>46</v>
      </c>
      <c r="F24" s="5" t="s">
        <v>47</v>
      </c>
      <c r="G24" s="5">
        <v>3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25.25" customHeight="1" x14ac:dyDescent="0.2">
      <c r="A25" s="1"/>
      <c r="B25" s="1"/>
      <c r="C25" s="1"/>
      <c r="D25" s="1"/>
      <c r="E25" s="15" t="s">
        <v>150</v>
      </c>
      <c r="F25" s="15" t="s">
        <v>151</v>
      </c>
      <c r="G25" s="15">
        <v>3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25.25" customHeight="1" x14ac:dyDescent="0.2">
      <c r="A26" s="1"/>
      <c r="B26" s="1"/>
      <c r="C26" s="1"/>
      <c r="D26" s="1"/>
      <c r="E26" s="15" t="s">
        <v>191</v>
      </c>
      <c r="F26" s="15" t="s">
        <v>70</v>
      </c>
      <c r="G26" s="15">
        <v>3</v>
      </c>
      <c r="H26" s="1"/>
      <c r="I26" s="50" t="s">
        <v>178</v>
      </c>
      <c r="J26" s="50"/>
      <c r="K26" s="30" t="s">
        <v>2</v>
      </c>
      <c r="L26" s="1"/>
      <c r="M26" s="1"/>
      <c r="N26" s="1"/>
      <c r="O26" s="1"/>
      <c r="P26" s="1"/>
      <c r="Q26" s="1"/>
      <c r="R26" s="1"/>
      <c r="S26" s="1"/>
    </row>
    <row r="27" spans="1:19" ht="25.25" customHeight="1" x14ac:dyDescent="0.2">
      <c r="A27" s="1"/>
      <c r="B27" s="1"/>
      <c r="C27" s="1"/>
      <c r="D27" s="1"/>
      <c r="E27" s="15" t="s">
        <v>158</v>
      </c>
      <c r="F27" s="15" t="s">
        <v>75</v>
      </c>
      <c r="G27" s="24">
        <v>3</v>
      </c>
      <c r="H27" s="1"/>
      <c r="I27" s="34" t="s">
        <v>0</v>
      </c>
      <c r="J27" s="29" t="s">
        <v>1</v>
      </c>
      <c r="K27" s="31">
        <f>SUM(K28:K36)</f>
        <v>11</v>
      </c>
      <c r="L27" s="1"/>
      <c r="M27" s="1"/>
      <c r="N27" s="1"/>
      <c r="O27" s="1"/>
      <c r="P27" s="1"/>
      <c r="Q27" s="1"/>
      <c r="R27" s="1"/>
      <c r="S27" s="1"/>
    </row>
    <row r="28" spans="1:19" ht="25.25" customHeight="1" x14ac:dyDescent="0.2">
      <c r="A28" s="1"/>
      <c r="B28" s="1"/>
      <c r="C28" s="1"/>
      <c r="D28" s="1"/>
      <c r="E28" s="15" t="s">
        <v>198</v>
      </c>
      <c r="F28" s="15" t="s">
        <v>199</v>
      </c>
      <c r="G28" s="15">
        <v>1</v>
      </c>
      <c r="H28" s="1"/>
      <c r="I28" s="15"/>
      <c r="J28" s="15"/>
      <c r="K28" s="15"/>
      <c r="L28" s="1"/>
      <c r="M28" s="1"/>
      <c r="N28" s="1"/>
      <c r="O28" s="1"/>
      <c r="P28" s="1"/>
      <c r="Q28" s="1"/>
      <c r="R28" s="1"/>
      <c r="S28" s="1"/>
    </row>
    <row r="29" spans="1:19" ht="25.25" customHeight="1" x14ac:dyDescent="0.2">
      <c r="A29" s="1"/>
      <c r="B29" s="1"/>
      <c r="C29" s="1"/>
      <c r="D29" s="1"/>
      <c r="E29" s="15" t="s">
        <v>194</v>
      </c>
      <c r="F29" s="15" t="s">
        <v>136</v>
      </c>
      <c r="G29" s="15">
        <v>3</v>
      </c>
      <c r="H29" s="1"/>
      <c r="I29" s="15"/>
      <c r="J29" s="15"/>
      <c r="K29" s="15"/>
      <c r="L29" s="1"/>
      <c r="M29" s="1"/>
      <c r="N29" s="1"/>
      <c r="O29" s="1"/>
      <c r="P29" s="1"/>
      <c r="Q29" s="1"/>
      <c r="R29" s="1"/>
      <c r="S29" s="1"/>
    </row>
    <row r="30" spans="1:19" ht="25.25" customHeight="1" x14ac:dyDescent="0.2">
      <c r="A30" s="1"/>
      <c r="B30" s="1"/>
      <c r="C30" s="1"/>
      <c r="D30" s="1"/>
      <c r="E30" s="5" t="s">
        <v>21</v>
      </c>
      <c r="F30" s="5" t="s">
        <v>58</v>
      </c>
      <c r="G30" s="5">
        <v>4</v>
      </c>
      <c r="H30" s="1"/>
      <c r="I30" s="5"/>
      <c r="J30" s="5"/>
      <c r="K30" s="5"/>
      <c r="L30" s="1"/>
      <c r="M30" s="1"/>
      <c r="N30" s="1"/>
      <c r="O30" s="1"/>
      <c r="P30" s="1"/>
      <c r="Q30" s="1"/>
      <c r="R30" s="1"/>
      <c r="S30" s="1"/>
    </row>
    <row r="31" spans="1:19" ht="25.25" customHeight="1" x14ac:dyDescent="0.2">
      <c r="A31" s="1"/>
      <c r="B31" s="1"/>
      <c r="C31" s="1"/>
      <c r="D31" s="1"/>
      <c r="E31" s="5" t="s">
        <v>246</v>
      </c>
      <c r="F31" s="5" t="s">
        <v>247</v>
      </c>
      <c r="G31" s="5">
        <v>3</v>
      </c>
      <c r="H31" s="1"/>
      <c r="I31" s="15" t="s">
        <v>56</v>
      </c>
      <c r="J31" s="15" t="s">
        <v>57</v>
      </c>
      <c r="K31" s="15">
        <v>4</v>
      </c>
      <c r="L31" s="1"/>
      <c r="M31" s="1"/>
      <c r="N31" s="1"/>
      <c r="O31" s="1"/>
      <c r="P31" s="1"/>
      <c r="Q31" s="1"/>
      <c r="R31" s="1"/>
      <c r="S31" s="1"/>
    </row>
    <row r="32" spans="1:19" ht="25.25" customHeight="1" x14ac:dyDescent="0.2">
      <c r="A32" s="1"/>
      <c r="B32" s="1"/>
      <c r="C32" s="1"/>
      <c r="D32" s="1"/>
      <c r="E32" s="15" t="s">
        <v>248</v>
      </c>
      <c r="F32" s="15" t="s">
        <v>249</v>
      </c>
      <c r="G32" s="15">
        <v>3</v>
      </c>
      <c r="H32" s="1"/>
      <c r="I32" s="15" t="s">
        <v>115</v>
      </c>
      <c r="J32" s="15" t="s">
        <v>154</v>
      </c>
      <c r="K32" s="15">
        <v>3</v>
      </c>
      <c r="L32" s="1"/>
      <c r="M32" s="1"/>
      <c r="N32" s="1"/>
      <c r="O32" s="1"/>
      <c r="P32" s="1"/>
      <c r="Q32" s="1"/>
      <c r="R32" s="1"/>
      <c r="S32" s="1"/>
    </row>
    <row r="33" spans="1:19" ht="25.25" customHeight="1" x14ac:dyDescent="0.2">
      <c r="A33" s="1"/>
      <c r="B33" s="1"/>
      <c r="C33" s="1"/>
      <c r="D33" s="1"/>
      <c r="E33" s="1"/>
      <c r="F33" s="1"/>
      <c r="G33" s="1"/>
      <c r="H33" s="1"/>
      <c r="I33" s="15" t="s">
        <v>134</v>
      </c>
      <c r="J33" s="15" t="s">
        <v>135</v>
      </c>
      <c r="K33" s="15">
        <v>4</v>
      </c>
      <c r="L33" s="1"/>
      <c r="M33" s="1"/>
      <c r="N33" s="1"/>
      <c r="O33" s="1"/>
      <c r="P33" s="1"/>
      <c r="Q33" s="1"/>
      <c r="R33" s="1"/>
      <c r="S33" s="1"/>
    </row>
    <row r="34" spans="1:19" ht="25.2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25.2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25.2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25.2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25.25" customHeight="1" x14ac:dyDescent="0.2">
      <c r="A38" s="1"/>
      <c r="B38" s="1"/>
      <c r="C38" s="1"/>
      <c r="D38" s="1"/>
      <c r="E38" s="1"/>
      <c r="F38" s="1"/>
      <c r="G38" s="1"/>
      <c r="H38" s="1"/>
      <c r="I38" s="50" t="s">
        <v>179</v>
      </c>
      <c r="J38" s="50"/>
      <c r="K38" s="30" t="s">
        <v>2</v>
      </c>
      <c r="L38" s="1"/>
      <c r="M38" s="1"/>
      <c r="N38" s="1"/>
      <c r="O38" s="1"/>
      <c r="P38" s="1"/>
      <c r="Q38" s="1"/>
      <c r="R38" s="1"/>
      <c r="S38" s="1"/>
    </row>
    <row r="39" spans="1:19" ht="25.25" customHeight="1" x14ac:dyDescent="0.2">
      <c r="A39" s="1"/>
      <c r="B39" s="1"/>
      <c r="C39" s="1"/>
      <c r="D39" s="1"/>
      <c r="E39" s="1"/>
      <c r="F39" s="1"/>
      <c r="G39" s="1"/>
      <c r="H39" s="1"/>
      <c r="I39" s="34" t="s">
        <v>0</v>
      </c>
      <c r="J39" s="29" t="s">
        <v>1</v>
      </c>
      <c r="K39" s="31">
        <f>SUM(K40:K49)</f>
        <v>0</v>
      </c>
      <c r="L39" s="1"/>
      <c r="M39" s="1"/>
      <c r="N39" s="1"/>
      <c r="O39" s="1"/>
      <c r="P39" s="1"/>
      <c r="Q39" s="1"/>
      <c r="R39" s="1"/>
      <c r="S39" s="1"/>
    </row>
    <row r="40" spans="1:19" ht="25.25" customHeight="1" x14ac:dyDescent="0.2">
      <c r="A40" s="1"/>
      <c r="B40" s="1"/>
      <c r="C40" s="1"/>
      <c r="D40" s="1"/>
      <c r="E40" s="1"/>
      <c r="F40" s="1"/>
      <c r="G40" s="1"/>
      <c r="H40" s="1"/>
      <c r="I40" s="15"/>
      <c r="J40" s="15"/>
      <c r="K40" s="15"/>
      <c r="L40" s="1"/>
      <c r="M40" s="1"/>
      <c r="N40" s="1"/>
      <c r="O40" s="1"/>
      <c r="P40" s="1"/>
      <c r="Q40" s="1"/>
      <c r="R40" s="1"/>
      <c r="S40" s="1"/>
    </row>
    <row r="41" spans="1:19" ht="25.25" customHeight="1" x14ac:dyDescent="0.2">
      <c r="A41" s="1"/>
      <c r="B41" s="1"/>
      <c r="C41" s="1"/>
      <c r="D41" s="1"/>
      <c r="E41" s="1"/>
      <c r="F41" s="1"/>
      <c r="G41" s="1"/>
      <c r="H41" s="1"/>
      <c r="I41" s="15"/>
      <c r="J41" s="15"/>
      <c r="K41" s="15"/>
      <c r="L41" s="1"/>
      <c r="M41" s="1"/>
      <c r="N41" s="1"/>
      <c r="O41" s="1"/>
      <c r="P41" s="1"/>
      <c r="Q41" s="1"/>
      <c r="R41" s="1"/>
      <c r="S41" s="1"/>
    </row>
    <row r="42" spans="1:19" ht="25.25" customHeight="1" x14ac:dyDescent="0.2">
      <c r="A42" s="1"/>
      <c r="B42" s="1"/>
      <c r="C42" s="1"/>
      <c r="D42" s="1"/>
      <c r="E42" s="1"/>
      <c r="F42" s="1"/>
      <c r="G42" s="1"/>
      <c r="H42" s="1"/>
      <c r="I42" s="5"/>
      <c r="J42" s="5"/>
      <c r="K42" s="5"/>
      <c r="L42" s="1"/>
      <c r="M42" s="1"/>
      <c r="N42" s="1"/>
      <c r="O42" s="1"/>
      <c r="P42" s="1"/>
      <c r="Q42" s="1"/>
      <c r="R42" s="1"/>
      <c r="S42" s="1"/>
    </row>
    <row r="43" spans="1:19" ht="25.25" customHeight="1" x14ac:dyDescent="0.2">
      <c r="A43" s="1"/>
      <c r="B43" s="1"/>
      <c r="C43" s="1"/>
      <c r="D43" s="1"/>
      <c r="E43" s="1"/>
      <c r="F43" s="1"/>
      <c r="G43" s="1"/>
      <c r="H43" s="1"/>
      <c r="I43" s="15"/>
      <c r="J43" s="15"/>
      <c r="K43" s="15"/>
      <c r="L43" s="1"/>
      <c r="M43" s="1"/>
      <c r="N43" s="1"/>
      <c r="O43" s="1"/>
      <c r="P43" s="1"/>
      <c r="Q43" s="1"/>
      <c r="R43" s="1"/>
      <c r="S43" s="1"/>
    </row>
    <row r="44" spans="1:19" ht="25.25" customHeight="1" x14ac:dyDescent="0.2">
      <c r="A44" s="1"/>
      <c r="B44" s="1"/>
      <c r="C44" s="1"/>
      <c r="D44" s="1"/>
      <c r="E44" s="1"/>
      <c r="F44" s="1"/>
      <c r="G44" s="1"/>
      <c r="H44" s="1"/>
      <c r="I44" s="5"/>
      <c r="J44" s="5"/>
      <c r="K44" s="5"/>
      <c r="L44" s="1"/>
      <c r="M44" s="1"/>
      <c r="N44" s="1"/>
      <c r="O44" s="1"/>
      <c r="P44" s="1"/>
      <c r="Q44" s="1"/>
      <c r="R44" s="1"/>
      <c r="S44" s="1"/>
    </row>
    <row r="45" spans="1:19" ht="25.25" customHeight="1" x14ac:dyDescent="0.2">
      <c r="A45" s="1"/>
      <c r="B45" s="1"/>
      <c r="C45" s="1"/>
      <c r="D45" s="1"/>
      <c r="E45" s="1"/>
      <c r="F45" s="1"/>
      <c r="G45" s="1"/>
      <c r="H45" s="1"/>
      <c r="I45" s="15"/>
      <c r="J45" s="15"/>
      <c r="K45" s="15"/>
      <c r="L45" s="1"/>
      <c r="M45" s="1"/>
      <c r="N45" s="1"/>
      <c r="O45" s="1"/>
      <c r="P45" s="1"/>
      <c r="Q45" s="1"/>
      <c r="R45" s="1"/>
      <c r="S45" s="1"/>
    </row>
    <row r="46" spans="1:19" ht="25.2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25.2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25.2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25.2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25.2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25.2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25.2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25.2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25.2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25.2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25.2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25.2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25.2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25.2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25.2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25.2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25.2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25.2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25.2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25.2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25.2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25.2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25.2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25.2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25.2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25.2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25.2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25.2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25.2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25.2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25.2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25.2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25.2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25.2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25.2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25.2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25.2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25.2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25.2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25.2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25.2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25.2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25.2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25.2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25.2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25.2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25.2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25.2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25.2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25.2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25.2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25.2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25.2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25.2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25.2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25.2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25.2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25.2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25.2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25.2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25.2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25.2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25.2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25.2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25.2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25.2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25.2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25.2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25.2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25.2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25.2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25.2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25.2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25.2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25.2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25.2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25.2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25.2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25.2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25.2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25.2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25.2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25.2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25.2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25.2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25.2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25.2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25.2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25.2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25.2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25.2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25.2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25.2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25.2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25.2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25.2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25.2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25.2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25.2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25.2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25.2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25.2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25.2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25.2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25.2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25.2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25.2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25.2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25.2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25.2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25.2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25.2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25.2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25.2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25.2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25.2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25.2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25.2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25.2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25.2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25.2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25.2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25.2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25.2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25.2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25.2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25.2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25.2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25.2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25.2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25.2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25.2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25.2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25.2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25.2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25.2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25.2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25.2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25.2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25.2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25.2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25.2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25.2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25.2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25.2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25.2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25.2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25.2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25.2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25.2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25.2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25.2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25.2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25.2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25.2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25.2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25.2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25.2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25.2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25.2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25.2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25.2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25.2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25.2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25.2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25.2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25.2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25.2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25.2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25.2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25.2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25.2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25.2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25.2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25.2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25.2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25.2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25.2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25.2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25.2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25.2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25.2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25.2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25.2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25.2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25.2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25.2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25.2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25.2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25.2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25.2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25.2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25.2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25.2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25.2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25.2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25.2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25.2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25.2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25.2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25.2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25.2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25.2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25.2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25.2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25.2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25.2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25.2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25.2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25.2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25.2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25.2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25.2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25.2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25.2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25.2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25.2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25.2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25.2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25.2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25.2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25.2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25.2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25.2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25.2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25.2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25.2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25.2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25.2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25.2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25.2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25.2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25.2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25.2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25.2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25.2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25.2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25.2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25.2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25.2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25.2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25.2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25.2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25.2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25.2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25.2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25.2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25.2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25.2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25.2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25.2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25.2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25.2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25.2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25.2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25.2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25.2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25.2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25.2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25.2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25.2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25.2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25.2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25.2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25.2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25.2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25.2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25.2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25.2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25.2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25.2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25.2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25.2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25.2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25.2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25.2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25.2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25.2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25.2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25.2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25.2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25.2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25.2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25.2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25.2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25.2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25.2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25.2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25.2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25.2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25.2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25.2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25.2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25.2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25.2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25.2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25.2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25.2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25.2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25.2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25.2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25.2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25.2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25.2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25.2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25.2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25.2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25.2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25.2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25.2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25.2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25.2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25.2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25.2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25.2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25.2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25.2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25.2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25.2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25.2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25.2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25.2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25.2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25.2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25.2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25.2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25.2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25.2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25.2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25.2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25.2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25.2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25.2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25.2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25.2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25.2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25.2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25.2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25.2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25.2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25.2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25.2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25.2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25.2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25.2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25.2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25.2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25.2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25.2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25.2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25.2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25.2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25.2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25.2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25.2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25.2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25.2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25.2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25.2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25.2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25.2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25.2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25.2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25.2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25.2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25.2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25.2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25.2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25.2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25.2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25.2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25.2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25.2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25.2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25.2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25.2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25.2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25.2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25.2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25.2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25.2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25.2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25.2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25.2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25.2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25.2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25.2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25.2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25.2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25.2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25.2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25.2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25.2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25.2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25.2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25.2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25.2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25.2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25.2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25.2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25.2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25.2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25.2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25.2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25.2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25.2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25.2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25.2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25.2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25.2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25.2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25.2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25.2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25.2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25.2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25.2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25.2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25.2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25.2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25.2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25.2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25.2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25.2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25.2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25.2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25.2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25.2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25.2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25.2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25.2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25.2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25.2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25.2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25.2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25.2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25.2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25.2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25.2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25.2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25.2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25.2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25.2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25.2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25.2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25.2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25.2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25.2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25.2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25.2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25.2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25.2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25.2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25.2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25.2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25.2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25.2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25.2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25.2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25.2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25.2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25.2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25.2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25.2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25.2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25.2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25.2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25.2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25.2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25.2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25.2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25.2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25.2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25.2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25.2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25.2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25.2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25.2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25.2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25.2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25.2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25.2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25.2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25.2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25.2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25.2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25.2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25.2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25.2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25.2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25.2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25.2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25.2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25.2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25.2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25.2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25.2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25.2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25.2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25.2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25.2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25.2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25.2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25.2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25.2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25.2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25.2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25.2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25.2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25.2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25.2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25.2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25.2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25.2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25.2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25.2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25.2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25.2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25.2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25.2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25.2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25.2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25.2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25.2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25.2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25.2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25.2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25.2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25.2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25.2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25.2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25.2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25.2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25.2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25.2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25.2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25.2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25.2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25.2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25.2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25.2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25.2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25.2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25.2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25.2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25.2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25.2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25.2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25.2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25.2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25.2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25.2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25.2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25.2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25.2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25.2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25.2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25.2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25.2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25.2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25.2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25.2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25.2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25.2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25.2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25.2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25.2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25.2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25.2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25.2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25.2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25.2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25.2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25.2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25.2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25.2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25.2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25.2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25.2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25.2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25.2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25.2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25.2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25.2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25.2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25.2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25.2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25.2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25.2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25.2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25.2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25.2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25.2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25.2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25.2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25.2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25.2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25.2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25.2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25.2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25.2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25.2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25.2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25.2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25.2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25.2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25.2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25.2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25.2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25.2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25.2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25.2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25.2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25.2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25.2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25.2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25.2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25.2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25.2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25.2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25.2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25.2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25.2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25.2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25.2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25.2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25.2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25.2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25.2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25.2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25.2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25.2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25.2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25.2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25.2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25.2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25.2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25.2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25.2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25.2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25.2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25.2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25.2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25.2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25.2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25.2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25.2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25.2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25.2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25.2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25.2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25.2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25.2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25.2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25.2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25.2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25.2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25.2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25.2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25.2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25.2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25.2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25.2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25.2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25.2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25.2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25.2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25.2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25.2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25.2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25.2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25.2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25.2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25.2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25.2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25.2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25.2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25.2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25.2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25.2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25.2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25.2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25.2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25.2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25.2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25.2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25.2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25.2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25.2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25.2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25.2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25.2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25.2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25.2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25.2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25.2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25.2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25.2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25.2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25.2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25.2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25.2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25.2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25.2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25.2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25.2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25.2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25.2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25.2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25.2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25.2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25.2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25.2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25.2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25.2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25.2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25.2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25.2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25.2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25.2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25.2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25.2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25.2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25.2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25.2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25.2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25.2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25.2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25.2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25.2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25.2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25.2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25.2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25.2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25.2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25.2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25.2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25.2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25.2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25.2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25.2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25.2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25.2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25.2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25.2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25.2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25.2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25.2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25.2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25.2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25.2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25.2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25.2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25.2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25.2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25.2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25.2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25.2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25.2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25.2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25.2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25.2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25.2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25.2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25.2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25.2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25.2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25.2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25.2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25.2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25.2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25.2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25.2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25.2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25.2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25.2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25.2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25.2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25.2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25.2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25.2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25.2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25.2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25.2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25.2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25.2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25.2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25.2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25.2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25.2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25.2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25.2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25.2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25.2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25.2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25.2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25.2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25.2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25.2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25.2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25.2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25.2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25.2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25.2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25.2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25.2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25.2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25.2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25.2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25.2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25.2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25.2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25.2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25.2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25.2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25.2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25.2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25.2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25.2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25.2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25.2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25.2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25.2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25.2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25.2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25.2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25.2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25.2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25.2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25.2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25.2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25.2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25.2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25.2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25.2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25.2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25.2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25.2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25.2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25.2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25.2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25.2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25.2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25.2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25.2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25.2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25.2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25.2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25.2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25.2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25.2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25.2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25.2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25.2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25.2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25.2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25.2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25.2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25.2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25.2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25.2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25.2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25.2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25.2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25.2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25.2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25.2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25.2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25.2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25.2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25.2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25.2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25.2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25.2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25.2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25.2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25.2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25.2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25.2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25.2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25.2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25.2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25.2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25.2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25.2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25.2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25.2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25.2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25.2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25.2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25.2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25.2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25.2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25.2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25.2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25.2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25.2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25.2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25.2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25.2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25.2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25.2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25.2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25.2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25.2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25.2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25.2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25.2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25.2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25.2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25.2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25.2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25.2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25.2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25.2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25.2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25.2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25.2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25.2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25.2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25.2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25.2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25.2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25.2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25.2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25.2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25.2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25.2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25.2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25.2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25.2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25.2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25.2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25.2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25.2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25.2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25.2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25.2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25.2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25.2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ht="25.2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ht="25.2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ht="25.2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ht="25.2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ht="25.2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</sheetData>
  <mergeCells count="7">
    <mergeCell ref="A1:G1"/>
    <mergeCell ref="I38:J38"/>
    <mergeCell ref="A2:B2"/>
    <mergeCell ref="E2:F2"/>
    <mergeCell ref="I2:J2"/>
    <mergeCell ref="I14:J14"/>
    <mergeCell ref="I26:J26"/>
  </mergeCells>
  <pageMargins left="0.7" right="0.7" top="0.75" bottom="0.75" header="0.3" footer="0.3"/>
  <pageSetup scale="4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7E2D8-BD2B-4941-B2C0-1F34833C357B}">
  <sheetPr>
    <outlinePr summaryBelow="0" summaryRight="0"/>
    <pageSetUpPr fitToPage="1"/>
  </sheetPr>
  <dimension ref="A1:S989"/>
  <sheetViews>
    <sheetView zoomScale="90" zoomScaleNormal="90" workbookViewId="0">
      <selection activeCell="G8" sqref="G8"/>
    </sheetView>
  </sheetViews>
  <sheetFormatPr baseColWidth="10" defaultColWidth="12.6640625" defaultRowHeight="25.25" customHeight="1" x14ac:dyDescent="0.2"/>
  <cols>
    <col min="1" max="1" width="12.6640625" style="2"/>
    <col min="2" max="2" width="40.6640625" style="2" customWidth="1"/>
    <col min="3" max="3" width="12.6640625" style="2"/>
    <col min="4" max="4" width="5.1640625" style="2" customWidth="1"/>
    <col min="5" max="5" width="20.5" style="2" customWidth="1"/>
    <col min="6" max="6" width="52.5" style="2" customWidth="1"/>
    <col min="7" max="7" width="12.6640625" style="2"/>
    <col min="8" max="8" width="5.1640625" style="2" customWidth="1"/>
    <col min="9" max="9" width="12.6640625" style="2"/>
    <col min="10" max="10" width="38" style="2" customWidth="1"/>
    <col min="11" max="16384" width="12.6640625" style="2"/>
  </cols>
  <sheetData>
    <row r="1" spans="1:19" ht="25.25" customHeight="1" thickBot="1" x14ac:dyDescent="0.25">
      <c r="A1" s="54" t="s">
        <v>217</v>
      </c>
      <c r="B1" s="54"/>
      <c r="C1" s="54"/>
      <c r="D1" s="54"/>
      <c r="E1" s="54"/>
      <c r="F1" s="54"/>
      <c r="G1" s="54"/>
    </row>
    <row r="2" spans="1:19" ht="25.25" customHeight="1" thickTop="1" x14ac:dyDescent="0.2">
      <c r="A2" s="50" t="s">
        <v>162</v>
      </c>
      <c r="B2" s="50"/>
      <c r="C2" s="30" t="s">
        <v>2</v>
      </c>
      <c r="D2" s="1"/>
      <c r="E2" s="58" t="s">
        <v>159</v>
      </c>
      <c r="F2" s="64"/>
      <c r="G2" s="30" t="s">
        <v>2</v>
      </c>
      <c r="H2" s="1"/>
      <c r="I2" s="50" t="s">
        <v>176</v>
      </c>
      <c r="J2" s="50"/>
      <c r="K2" s="30" t="s">
        <v>2</v>
      </c>
      <c r="L2" s="1"/>
      <c r="M2" s="1"/>
      <c r="N2" s="1"/>
      <c r="O2" s="1"/>
      <c r="P2" s="1"/>
      <c r="Q2" s="1"/>
      <c r="R2" s="1"/>
      <c r="S2" s="1"/>
    </row>
    <row r="3" spans="1:19" ht="25.25" customHeight="1" x14ac:dyDescent="0.2">
      <c r="A3" s="34" t="s">
        <v>0</v>
      </c>
      <c r="B3" s="29" t="s">
        <v>1</v>
      </c>
      <c r="C3" s="31">
        <f>SUM(C4:C27)</f>
        <v>0</v>
      </c>
      <c r="D3" s="1"/>
      <c r="E3" s="33" t="s">
        <v>0</v>
      </c>
      <c r="F3" s="19" t="s">
        <v>1</v>
      </c>
      <c r="G3" s="32">
        <f>SUM(G4:G27)</f>
        <v>13</v>
      </c>
      <c r="H3" s="12"/>
      <c r="I3" s="34" t="s">
        <v>0</v>
      </c>
      <c r="J3" s="29" t="s">
        <v>1</v>
      </c>
      <c r="K3" s="31">
        <f>SUM(K4:K11)</f>
        <v>21</v>
      </c>
      <c r="L3" s="1"/>
      <c r="M3" s="1"/>
      <c r="N3" s="1"/>
      <c r="O3" s="1"/>
      <c r="P3" s="1"/>
      <c r="Q3" s="1"/>
      <c r="R3" s="1"/>
      <c r="S3" s="1"/>
    </row>
    <row r="4" spans="1:19" ht="25.25" customHeight="1" x14ac:dyDescent="0.2">
      <c r="A4" s="15"/>
      <c r="B4" s="15"/>
      <c r="C4" s="15"/>
      <c r="D4" s="1"/>
      <c r="E4" s="15" t="s">
        <v>252</v>
      </c>
      <c r="F4" s="15" t="s">
        <v>253</v>
      </c>
      <c r="G4" s="15">
        <v>4</v>
      </c>
      <c r="H4" s="1"/>
      <c r="I4" s="15" t="s">
        <v>161</v>
      </c>
      <c r="J4" s="15" t="s">
        <v>63</v>
      </c>
      <c r="K4" s="15">
        <v>3</v>
      </c>
      <c r="L4" s="1"/>
      <c r="M4" s="1"/>
      <c r="N4" s="1"/>
      <c r="O4" s="1"/>
      <c r="P4" s="1"/>
      <c r="Q4" s="1"/>
      <c r="R4" s="1"/>
      <c r="S4" s="1"/>
    </row>
    <row r="5" spans="1:19" ht="25.25" customHeight="1" x14ac:dyDescent="0.2">
      <c r="A5" s="15"/>
      <c r="B5" s="15"/>
      <c r="C5" s="15"/>
      <c r="D5" s="1"/>
      <c r="E5" s="15" t="s">
        <v>254</v>
      </c>
      <c r="F5" s="15" t="s">
        <v>255</v>
      </c>
      <c r="G5" s="15">
        <v>3</v>
      </c>
      <c r="H5" s="1"/>
      <c r="I5" s="15" t="s">
        <v>219</v>
      </c>
      <c r="J5" s="15" t="s">
        <v>220</v>
      </c>
      <c r="K5" s="15">
        <v>3</v>
      </c>
      <c r="L5" s="1"/>
      <c r="M5" s="1"/>
      <c r="N5" s="1"/>
      <c r="O5" s="1"/>
      <c r="P5" s="1"/>
      <c r="Q5" s="1"/>
      <c r="R5" s="1"/>
      <c r="S5" s="1"/>
    </row>
    <row r="6" spans="1:19" ht="25.25" customHeight="1" x14ac:dyDescent="0.2">
      <c r="A6" s="5"/>
      <c r="B6" s="5"/>
      <c r="C6" s="5"/>
      <c r="D6" s="1"/>
      <c r="E6" s="66" t="s">
        <v>256</v>
      </c>
      <c r="F6" s="66" t="s">
        <v>257</v>
      </c>
      <c r="G6" s="66">
        <v>3</v>
      </c>
      <c r="H6" s="1"/>
      <c r="I6" s="15" t="s">
        <v>226</v>
      </c>
      <c r="J6" s="15" t="s">
        <v>225</v>
      </c>
      <c r="K6" s="15">
        <v>3</v>
      </c>
      <c r="L6" s="1"/>
      <c r="M6" s="1"/>
      <c r="N6" s="1"/>
      <c r="O6" s="1"/>
      <c r="P6" s="1"/>
      <c r="Q6" s="1"/>
      <c r="R6" s="1"/>
      <c r="S6" s="1"/>
    </row>
    <row r="7" spans="1:19" ht="25.25" customHeight="1" x14ac:dyDescent="0.2">
      <c r="A7" s="15"/>
      <c r="B7" s="23"/>
      <c r="C7" s="27"/>
      <c r="D7" s="1"/>
      <c r="E7" s="15" t="s">
        <v>141</v>
      </c>
      <c r="F7" s="15" t="s">
        <v>258</v>
      </c>
      <c r="G7" s="15">
        <v>3</v>
      </c>
      <c r="H7" s="1"/>
      <c r="I7" s="5" t="s">
        <v>52</v>
      </c>
      <c r="J7" s="5" t="s">
        <v>53</v>
      </c>
      <c r="K7" s="5">
        <v>3</v>
      </c>
      <c r="L7" s="1"/>
      <c r="M7" s="1"/>
      <c r="N7" s="1"/>
      <c r="O7" s="1"/>
      <c r="P7" s="1"/>
      <c r="Q7" s="1"/>
      <c r="R7" s="1"/>
      <c r="S7" s="1"/>
    </row>
    <row r="8" spans="1:19" ht="25.25" customHeight="1" x14ac:dyDescent="0.2">
      <c r="A8" s="15"/>
      <c r="B8" s="23"/>
      <c r="C8" s="28"/>
      <c r="D8" s="1"/>
      <c r="E8" s="15"/>
      <c r="F8" s="15"/>
      <c r="G8" s="15"/>
      <c r="H8" s="1"/>
      <c r="I8" s="15" t="s">
        <v>222</v>
      </c>
      <c r="J8" s="15" t="s">
        <v>221</v>
      </c>
      <c r="K8" s="15">
        <v>3</v>
      </c>
      <c r="L8" s="1"/>
      <c r="M8" s="1"/>
      <c r="N8" s="1"/>
      <c r="O8" s="1"/>
      <c r="P8" s="1"/>
      <c r="Q8" s="1"/>
      <c r="R8" s="1"/>
      <c r="S8" s="1"/>
    </row>
    <row r="9" spans="1:19" ht="25.25" customHeight="1" x14ac:dyDescent="0.2">
      <c r="A9" s="15"/>
      <c r="B9" s="15"/>
      <c r="C9" s="15"/>
      <c r="D9" s="1"/>
      <c r="E9" s="15"/>
      <c r="F9" s="15"/>
      <c r="G9" s="15"/>
      <c r="H9" s="1"/>
      <c r="I9" s="15" t="s">
        <v>180</v>
      </c>
      <c r="J9" s="15"/>
      <c r="K9" s="15">
        <v>3</v>
      </c>
      <c r="L9" s="1"/>
      <c r="M9" s="1"/>
      <c r="N9" s="1"/>
      <c r="O9" s="1"/>
      <c r="P9" s="1"/>
      <c r="Q9" s="1"/>
      <c r="R9" s="1"/>
      <c r="S9" s="1"/>
    </row>
    <row r="10" spans="1:19" ht="25.25" customHeight="1" x14ac:dyDescent="0.2">
      <c r="A10" s="15"/>
      <c r="B10" s="15"/>
      <c r="C10" s="15"/>
      <c r="D10" s="1"/>
      <c r="E10" s="15"/>
      <c r="F10" s="15"/>
      <c r="G10" s="15"/>
      <c r="H10" s="1"/>
      <c r="I10" s="15" t="s">
        <v>180</v>
      </c>
      <c r="J10" s="15"/>
      <c r="K10" s="15">
        <v>3</v>
      </c>
      <c r="L10" s="1"/>
      <c r="M10" s="1"/>
      <c r="N10" s="1"/>
      <c r="O10" s="1"/>
      <c r="P10" s="1"/>
      <c r="Q10" s="1"/>
      <c r="R10" s="1"/>
      <c r="S10" s="1"/>
    </row>
    <row r="11" spans="1:19" ht="25.25" customHeight="1" x14ac:dyDescent="0.2">
      <c r="A11" s="15"/>
      <c r="B11" s="15"/>
      <c r="C11" s="15"/>
      <c r="D11" s="1"/>
      <c r="E11" s="15"/>
      <c r="F11" s="15"/>
      <c r="G11" s="15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25.25" customHeight="1" x14ac:dyDescent="0.2">
      <c r="A12" s="15"/>
      <c r="B12" s="15"/>
      <c r="C12" s="15"/>
      <c r="D12" s="1"/>
      <c r="E12" s="15"/>
      <c r="F12" s="15"/>
      <c r="G12" s="1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25.25" customHeight="1" x14ac:dyDescent="0.2">
      <c r="A13" s="15"/>
      <c r="B13" s="15"/>
      <c r="C13" s="15"/>
      <c r="D13" s="1"/>
      <c r="E13" s="15"/>
      <c r="F13" s="15"/>
      <c r="G13" s="1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25.25" customHeight="1" x14ac:dyDescent="0.2">
      <c r="A14" s="15"/>
      <c r="B14" s="15"/>
      <c r="C14" s="15"/>
      <c r="D14" s="1"/>
      <c r="E14" s="15"/>
      <c r="F14" s="15"/>
      <c r="G14" s="15"/>
      <c r="H14" s="1"/>
      <c r="I14" s="50" t="s">
        <v>177</v>
      </c>
      <c r="J14" s="65"/>
      <c r="K14" s="30" t="s">
        <v>2</v>
      </c>
      <c r="L14" s="1"/>
      <c r="M14" s="1"/>
      <c r="N14" s="1"/>
      <c r="O14" s="1"/>
      <c r="P14" s="1"/>
      <c r="Q14" s="1"/>
      <c r="R14" s="1"/>
      <c r="S14" s="1"/>
    </row>
    <row r="15" spans="1:19" ht="25.25" customHeight="1" x14ac:dyDescent="0.2">
      <c r="A15" s="15"/>
      <c r="B15" s="15"/>
      <c r="C15" s="15"/>
      <c r="D15" s="1"/>
      <c r="E15" s="15"/>
      <c r="F15" s="15"/>
      <c r="G15" s="15"/>
      <c r="H15" s="1"/>
      <c r="I15" s="34" t="s">
        <v>0</v>
      </c>
      <c r="J15" s="29" t="s">
        <v>1</v>
      </c>
      <c r="K15" s="31">
        <f>SUM(K16:K24)</f>
        <v>15</v>
      </c>
      <c r="L15" s="1"/>
      <c r="M15" s="1"/>
      <c r="N15" s="1"/>
      <c r="O15" s="1"/>
      <c r="P15" s="1"/>
      <c r="Q15" s="1"/>
      <c r="R15" s="1"/>
      <c r="S15" s="1"/>
    </row>
    <row r="16" spans="1:19" ht="25.25" customHeight="1" x14ac:dyDescent="0.2">
      <c r="D16" s="1"/>
      <c r="E16" s="15"/>
      <c r="F16" s="15"/>
      <c r="G16" s="15"/>
      <c r="H16" s="1"/>
      <c r="I16" s="15" t="s">
        <v>148</v>
      </c>
      <c r="J16" s="15" t="s">
        <v>149</v>
      </c>
      <c r="K16" s="15">
        <v>3</v>
      </c>
      <c r="L16" s="1"/>
      <c r="M16" s="1"/>
      <c r="N16" s="1"/>
      <c r="O16" s="1"/>
      <c r="P16" s="1"/>
      <c r="Q16" s="1"/>
      <c r="R16" s="1"/>
      <c r="S16" s="1"/>
    </row>
    <row r="17" spans="1:19" ht="25.25" customHeight="1" x14ac:dyDescent="0.2">
      <c r="D17" s="1"/>
      <c r="E17" s="15"/>
      <c r="F17" s="15"/>
      <c r="G17" s="15"/>
      <c r="H17" s="1"/>
      <c r="I17" s="15" t="s">
        <v>244</v>
      </c>
      <c r="J17" s="15" t="s">
        <v>245</v>
      </c>
      <c r="K17" s="15">
        <v>3</v>
      </c>
      <c r="L17" s="1"/>
      <c r="M17" s="1"/>
      <c r="N17" s="1"/>
      <c r="O17" s="1"/>
      <c r="P17" s="1"/>
      <c r="Q17" s="1"/>
      <c r="R17" s="1"/>
      <c r="S17" s="1"/>
    </row>
    <row r="18" spans="1:19" ht="25.25" customHeight="1" x14ac:dyDescent="0.2">
      <c r="D18" s="1"/>
      <c r="E18" s="15"/>
      <c r="F18" s="15"/>
      <c r="G18" s="15"/>
      <c r="H18" s="1"/>
      <c r="I18" s="5" t="s">
        <v>246</v>
      </c>
      <c r="J18" s="5" t="s">
        <v>247</v>
      </c>
      <c r="K18" s="5">
        <v>3</v>
      </c>
      <c r="L18" s="1"/>
      <c r="M18" s="1"/>
      <c r="N18" s="1"/>
      <c r="O18" s="1"/>
      <c r="P18" s="1"/>
      <c r="Q18" s="1"/>
      <c r="R18" s="1"/>
      <c r="S18" s="1"/>
    </row>
    <row r="19" spans="1:19" ht="25.25" customHeight="1" x14ac:dyDescent="0.2">
      <c r="D19" s="1"/>
      <c r="E19" s="15"/>
      <c r="F19" s="15"/>
      <c r="G19" s="15"/>
      <c r="H19" s="1"/>
      <c r="I19" s="15" t="s">
        <v>248</v>
      </c>
      <c r="J19" s="15" t="s">
        <v>249</v>
      </c>
      <c r="K19" s="15">
        <v>3</v>
      </c>
      <c r="L19" s="1"/>
      <c r="M19" s="1"/>
      <c r="N19" s="1"/>
      <c r="O19" s="1"/>
      <c r="P19" s="1"/>
      <c r="Q19" s="1"/>
      <c r="R19" s="1"/>
      <c r="S19" s="1"/>
    </row>
    <row r="20" spans="1:19" ht="25.25" customHeight="1" x14ac:dyDescent="0.2">
      <c r="D20" s="1"/>
      <c r="E20" s="15"/>
      <c r="F20" s="15"/>
      <c r="G20" s="15"/>
      <c r="H20" s="1"/>
      <c r="I20" s="15" t="s">
        <v>250</v>
      </c>
      <c r="J20" s="15" t="s">
        <v>251</v>
      </c>
      <c r="K20" s="15">
        <v>3</v>
      </c>
      <c r="L20" s="1"/>
      <c r="M20" s="1"/>
      <c r="N20" s="1"/>
      <c r="O20" s="1"/>
      <c r="P20" s="1"/>
      <c r="Q20" s="1"/>
      <c r="R20" s="1"/>
      <c r="S20" s="1"/>
    </row>
    <row r="21" spans="1:19" ht="25.25" customHeight="1" x14ac:dyDescent="0.2">
      <c r="D21" s="1"/>
      <c r="E21" s="15"/>
      <c r="F21" s="15"/>
      <c r="G21" s="15"/>
      <c r="H21" s="1"/>
      <c r="I21" s="15" t="s">
        <v>241</v>
      </c>
      <c r="J21" s="15"/>
      <c r="K21" s="15"/>
      <c r="L21" s="1"/>
      <c r="M21" s="1"/>
      <c r="N21" s="1"/>
      <c r="O21" s="1"/>
      <c r="P21" s="1"/>
      <c r="Q21" s="1"/>
      <c r="R21" s="1"/>
      <c r="S21" s="1"/>
    </row>
    <row r="22" spans="1:19" ht="25.25" customHeight="1" x14ac:dyDescent="0.2">
      <c r="D22" s="1"/>
      <c r="E22" s="15"/>
      <c r="F22" s="15"/>
      <c r="G22" s="15"/>
      <c r="H22" s="1"/>
      <c r="I22" s="15" t="s">
        <v>241</v>
      </c>
      <c r="J22" s="15"/>
      <c r="K22" s="15"/>
      <c r="L22" s="1"/>
      <c r="M22" s="1"/>
      <c r="N22" s="1"/>
      <c r="O22" s="1"/>
      <c r="P22" s="1"/>
      <c r="Q22" s="1"/>
      <c r="R22" s="1"/>
      <c r="S22" s="1"/>
    </row>
    <row r="23" spans="1:19" ht="25.25" customHeight="1" x14ac:dyDescent="0.2">
      <c r="A23" s="1"/>
      <c r="B23" s="1"/>
      <c r="C23" s="1"/>
      <c r="D23" s="1"/>
      <c r="E23" s="20"/>
      <c r="F23" s="20"/>
      <c r="G23" s="20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25.25" customHeight="1" x14ac:dyDescent="0.2">
      <c r="A24" s="1"/>
      <c r="B24" s="1"/>
      <c r="C24" s="1"/>
      <c r="D24" s="1"/>
      <c r="E24" s="5"/>
      <c r="F24" s="5"/>
      <c r="G24" s="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25.25" customHeight="1" x14ac:dyDescent="0.2">
      <c r="A25" s="1"/>
      <c r="B25" s="1"/>
      <c r="C25" s="1"/>
      <c r="D25" s="1"/>
      <c r="E25" s="15"/>
      <c r="F25" s="15"/>
      <c r="G25" s="1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25.25" customHeight="1" x14ac:dyDescent="0.2">
      <c r="A26" s="1"/>
      <c r="B26" s="1"/>
      <c r="C26" s="1"/>
      <c r="D26" s="1"/>
      <c r="E26" s="15"/>
      <c r="F26" s="15"/>
      <c r="G26" s="15"/>
      <c r="H26" s="1"/>
      <c r="I26" s="50" t="s">
        <v>178</v>
      </c>
      <c r="J26" s="50"/>
      <c r="K26" s="30" t="s">
        <v>2</v>
      </c>
      <c r="L26" s="1"/>
      <c r="M26" s="1"/>
      <c r="N26" s="1"/>
      <c r="O26" s="1"/>
      <c r="P26" s="1"/>
      <c r="Q26" s="1"/>
      <c r="R26" s="1"/>
      <c r="S26" s="1"/>
    </row>
    <row r="27" spans="1:19" ht="25.25" customHeight="1" x14ac:dyDescent="0.2">
      <c r="A27" s="1"/>
      <c r="B27" s="1"/>
      <c r="C27" s="1"/>
      <c r="D27" s="1"/>
      <c r="E27" s="15"/>
      <c r="F27" s="15"/>
      <c r="G27" s="24"/>
      <c r="H27" s="1"/>
      <c r="I27" s="34" t="s">
        <v>0</v>
      </c>
      <c r="J27" s="29" t="s">
        <v>1</v>
      </c>
      <c r="K27" s="31">
        <f>SUM(K28:K36)</f>
        <v>11</v>
      </c>
      <c r="L27" s="1"/>
      <c r="M27" s="1"/>
      <c r="N27" s="1"/>
      <c r="O27" s="1"/>
      <c r="P27" s="1"/>
      <c r="Q27" s="1"/>
      <c r="R27" s="1"/>
      <c r="S27" s="1"/>
    </row>
    <row r="28" spans="1:19" ht="25.25" customHeight="1" x14ac:dyDescent="0.2">
      <c r="A28" s="1"/>
      <c r="B28" s="1"/>
      <c r="C28" s="1"/>
      <c r="D28" s="1"/>
      <c r="E28" s="15"/>
      <c r="F28" s="15"/>
      <c r="G28" s="15"/>
      <c r="H28" s="1"/>
      <c r="I28" s="15"/>
      <c r="J28" s="15"/>
      <c r="K28" s="15"/>
      <c r="L28" s="1"/>
      <c r="M28" s="1"/>
      <c r="N28" s="1"/>
      <c r="O28" s="1"/>
      <c r="P28" s="1"/>
      <c r="Q28" s="1"/>
      <c r="R28" s="1"/>
      <c r="S28" s="1"/>
    </row>
    <row r="29" spans="1:19" ht="25.25" customHeight="1" x14ac:dyDescent="0.2">
      <c r="A29" s="1"/>
      <c r="B29" s="1"/>
      <c r="C29" s="1"/>
      <c r="D29" s="1"/>
      <c r="E29" s="15"/>
      <c r="F29" s="15"/>
      <c r="G29" s="15"/>
      <c r="H29" s="1"/>
      <c r="I29" s="15"/>
      <c r="J29" s="15"/>
      <c r="K29" s="15"/>
      <c r="L29" s="1"/>
      <c r="M29" s="1"/>
      <c r="N29" s="1"/>
      <c r="O29" s="1"/>
      <c r="P29" s="1"/>
      <c r="Q29" s="1"/>
      <c r="R29" s="1"/>
      <c r="S29" s="1"/>
    </row>
    <row r="30" spans="1:19" ht="25.25" customHeight="1" x14ac:dyDescent="0.2">
      <c r="A30" s="1"/>
      <c r="B30" s="1"/>
      <c r="C30" s="1"/>
      <c r="D30" s="1"/>
      <c r="E30" s="5"/>
      <c r="F30" s="5"/>
      <c r="G30" s="5"/>
      <c r="H30" s="1"/>
      <c r="I30" s="5"/>
      <c r="J30" s="5"/>
      <c r="K30" s="5"/>
      <c r="L30" s="1"/>
      <c r="M30" s="1"/>
      <c r="N30" s="1"/>
      <c r="O30" s="1"/>
      <c r="P30" s="1"/>
      <c r="Q30" s="1"/>
      <c r="R30" s="1"/>
      <c r="S30" s="1"/>
    </row>
    <row r="31" spans="1:19" ht="25.25" customHeight="1" x14ac:dyDescent="0.2">
      <c r="A31" s="1"/>
      <c r="B31" s="1"/>
      <c r="C31" s="1"/>
      <c r="D31" s="1"/>
      <c r="E31" s="5"/>
      <c r="F31" s="5"/>
      <c r="G31" s="5"/>
      <c r="H31" s="1"/>
      <c r="I31" s="15" t="s">
        <v>56</v>
      </c>
      <c r="J31" s="15" t="s">
        <v>57</v>
      </c>
      <c r="K31" s="15">
        <v>4</v>
      </c>
      <c r="L31" s="1"/>
      <c r="M31" s="1"/>
      <c r="N31" s="1"/>
      <c r="O31" s="1"/>
      <c r="P31" s="1"/>
      <c r="Q31" s="1"/>
      <c r="R31" s="1"/>
      <c r="S31" s="1"/>
    </row>
    <row r="32" spans="1:19" ht="25.25" customHeight="1" x14ac:dyDescent="0.2">
      <c r="A32" s="1"/>
      <c r="B32" s="1"/>
      <c r="C32" s="1"/>
      <c r="D32" s="1"/>
      <c r="E32" s="15"/>
      <c r="F32" s="15"/>
      <c r="G32" s="15"/>
      <c r="H32" s="1"/>
      <c r="I32" s="15" t="s">
        <v>115</v>
      </c>
      <c r="J32" s="15" t="s">
        <v>154</v>
      </c>
      <c r="K32" s="15">
        <v>3</v>
      </c>
      <c r="L32" s="1"/>
      <c r="M32" s="1"/>
      <c r="N32" s="1"/>
      <c r="O32" s="1"/>
      <c r="P32" s="1"/>
      <c r="Q32" s="1"/>
      <c r="R32" s="1"/>
      <c r="S32" s="1"/>
    </row>
    <row r="33" spans="1:19" ht="25.25" customHeight="1" x14ac:dyDescent="0.2">
      <c r="A33" s="1"/>
      <c r="B33" s="1"/>
      <c r="C33" s="1"/>
      <c r="D33" s="1"/>
      <c r="E33" s="1"/>
      <c r="F33" s="1"/>
      <c r="G33" s="1"/>
      <c r="H33" s="1"/>
      <c r="I33" s="15" t="s">
        <v>134</v>
      </c>
      <c r="J33" s="15" t="s">
        <v>135</v>
      </c>
      <c r="K33" s="15">
        <v>4</v>
      </c>
      <c r="L33" s="1"/>
      <c r="M33" s="1"/>
      <c r="N33" s="1"/>
      <c r="O33" s="1"/>
      <c r="P33" s="1"/>
      <c r="Q33" s="1"/>
      <c r="R33" s="1"/>
      <c r="S33" s="1"/>
    </row>
    <row r="34" spans="1:19" ht="25.2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25.2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25.2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25.2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25.25" customHeight="1" x14ac:dyDescent="0.2">
      <c r="A38" s="1"/>
      <c r="B38" s="1"/>
      <c r="C38" s="1"/>
      <c r="D38" s="1"/>
      <c r="E38" s="1"/>
      <c r="F38" s="1"/>
      <c r="G38" s="1"/>
      <c r="H38" s="1"/>
      <c r="I38" s="50" t="s">
        <v>179</v>
      </c>
      <c r="J38" s="50"/>
      <c r="K38" s="30" t="s">
        <v>2</v>
      </c>
      <c r="L38" s="1"/>
      <c r="M38" s="1"/>
      <c r="N38" s="1"/>
      <c r="O38" s="1"/>
      <c r="P38" s="1"/>
      <c r="Q38" s="1"/>
      <c r="R38" s="1"/>
      <c r="S38" s="1"/>
    </row>
    <row r="39" spans="1:19" ht="25.25" customHeight="1" x14ac:dyDescent="0.2">
      <c r="A39" s="1"/>
      <c r="B39" s="1"/>
      <c r="C39" s="1"/>
      <c r="D39" s="1"/>
      <c r="E39" s="1"/>
      <c r="F39" s="1"/>
      <c r="G39" s="1"/>
      <c r="H39" s="1"/>
      <c r="I39" s="34" t="s">
        <v>0</v>
      </c>
      <c r="J39" s="29" t="s">
        <v>1</v>
      </c>
      <c r="K39" s="31">
        <f>SUM(K40:K49)</f>
        <v>0</v>
      </c>
      <c r="L39" s="1"/>
      <c r="M39" s="1"/>
      <c r="N39" s="1"/>
      <c r="O39" s="1"/>
      <c r="P39" s="1"/>
      <c r="Q39" s="1"/>
      <c r="R39" s="1"/>
      <c r="S39" s="1"/>
    </row>
    <row r="40" spans="1:19" ht="25.25" customHeight="1" x14ac:dyDescent="0.2">
      <c r="A40" s="1"/>
      <c r="B40" s="1"/>
      <c r="C40" s="1"/>
      <c r="D40" s="1"/>
      <c r="E40" s="1"/>
      <c r="F40" s="1"/>
      <c r="G40" s="1"/>
      <c r="H40" s="1"/>
      <c r="I40" s="15"/>
      <c r="J40" s="15"/>
      <c r="K40" s="15"/>
      <c r="L40" s="1"/>
      <c r="M40" s="1"/>
      <c r="N40" s="1"/>
      <c r="O40" s="1"/>
      <c r="P40" s="1"/>
      <c r="Q40" s="1"/>
      <c r="R40" s="1"/>
      <c r="S40" s="1"/>
    </row>
    <row r="41" spans="1:19" ht="25.25" customHeight="1" x14ac:dyDescent="0.2">
      <c r="A41" s="1"/>
      <c r="B41" s="1"/>
      <c r="C41" s="1"/>
      <c r="D41" s="1"/>
      <c r="E41" s="1"/>
      <c r="F41" s="1"/>
      <c r="G41" s="1"/>
      <c r="H41" s="1"/>
      <c r="I41" s="15"/>
      <c r="J41" s="15"/>
      <c r="K41" s="15"/>
      <c r="L41" s="1"/>
      <c r="M41" s="1"/>
      <c r="N41" s="1"/>
      <c r="O41" s="1"/>
      <c r="P41" s="1"/>
      <c r="Q41" s="1"/>
      <c r="R41" s="1"/>
      <c r="S41" s="1"/>
    </row>
    <row r="42" spans="1:19" ht="25.25" customHeight="1" x14ac:dyDescent="0.2">
      <c r="A42" s="1"/>
      <c r="B42" s="1"/>
      <c r="C42" s="1"/>
      <c r="D42" s="1"/>
      <c r="E42" s="1"/>
      <c r="F42" s="1"/>
      <c r="G42" s="1"/>
      <c r="H42" s="1"/>
      <c r="I42" s="5"/>
      <c r="J42" s="5"/>
      <c r="K42" s="5"/>
      <c r="L42" s="1"/>
      <c r="M42" s="1"/>
      <c r="N42" s="1"/>
      <c r="O42" s="1"/>
      <c r="P42" s="1"/>
      <c r="Q42" s="1"/>
      <c r="R42" s="1"/>
      <c r="S42" s="1"/>
    </row>
    <row r="43" spans="1:19" ht="25.25" customHeight="1" x14ac:dyDescent="0.2">
      <c r="A43" s="1"/>
      <c r="B43" s="1"/>
      <c r="C43" s="1"/>
      <c r="D43" s="1"/>
      <c r="E43" s="1"/>
      <c r="F43" s="1"/>
      <c r="G43" s="1"/>
      <c r="H43" s="1"/>
      <c r="I43" s="15"/>
      <c r="J43" s="15"/>
      <c r="K43" s="15"/>
      <c r="L43" s="1"/>
      <c r="M43" s="1"/>
      <c r="N43" s="1"/>
      <c r="O43" s="1"/>
      <c r="P43" s="1"/>
      <c r="Q43" s="1"/>
      <c r="R43" s="1"/>
      <c r="S43" s="1"/>
    </row>
    <row r="44" spans="1:19" ht="25.25" customHeight="1" x14ac:dyDescent="0.2">
      <c r="A44" s="1"/>
      <c r="B44" s="1"/>
      <c r="C44" s="1"/>
      <c r="D44" s="1"/>
      <c r="E44" s="1"/>
      <c r="F44" s="1"/>
      <c r="G44" s="1"/>
      <c r="H44" s="1"/>
      <c r="I44" s="5"/>
      <c r="J44" s="5"/>
      <c r="K44" s="5"/>
      <c r="L44" s="1"/>
      <c r="M44" s="1"/>
      <c r="N44" s="1"/>
      <c r="O44" s="1"/>
      <c r="P44" s="1"/>
      <c r="Q44" s="1"/>
      <c r="R44" s="1"/>
      <c r="S44" s="1"/>
    </row>
    <row r="45" spans="1:19" ht="25.25" customHeight="1" x14ac:dyDescent="0.2">
      <c r="A45" s="1"/>
      <c r="B45" s="1"/>
      <c r="C45" s="1"/>
      <c r="D45" s="1"/>
      <c r="E45" s="1"/>
      <c r="F45" s="1"/>
      <c r="G45" s="1"/>
      <c r="H45" s="1"/>
      <c r="I45" s="15"/>
      <c r="J45" s="15"/>
      <c r="K45" s="15"/>
      <c r="L45" s="1"/>
      <c r="M45" s="1"/>
      <c r="N45" s="1"/>
      <c r="O45" s="1"/>
      <c r="P45" s="1"/>
      <c r="Q45" s="1"/>
      <c r="R45" s="1"/>
      <c r="S45" s="1"/>
    </row>
    <row r="46" spans="1:19" ht="25.2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25.2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25.2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25.2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25.2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25.2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25.2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25.2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25.2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25.2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25.2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25.2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25.2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25.2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25.2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25.2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25.2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25.2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25.2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25.2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25.2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25.2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25.2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25.2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25.2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25.2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25.2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25.2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25.2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25.2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25.2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25.2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25.2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25.2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25.2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25.2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25.2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25.2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25.2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25.2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25.2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25.2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25.2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25.2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25.2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25.2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25.2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25.2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25.2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25.2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25.2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25.2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25.2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25.2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25.2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25.2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25.2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25.2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25.2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25.2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25.2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25.2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25.2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25.2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25.2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25.2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25.2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25.2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25.2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25.2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25.2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25.2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25.2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25.2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25.2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25.2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25.2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25.2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25.2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25.2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25.2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25.2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25.2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25.2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25.2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25.2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25.2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25.2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25.2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25.2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25.2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25.2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25.2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25.2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25.2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25.2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25.2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25.2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25.2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25.2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25.2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25.2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25.2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25.2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25.2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25.2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25.2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25.2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25.2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25.2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25.2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25.2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25.2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25.2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25.2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25.2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25.2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25.2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25.2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25.2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25.2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25.2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25.2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25.2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25.2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25.2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25.2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25.2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25.2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25.2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25.2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25.2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25.2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25.2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25.2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25.2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25.2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25.2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25.2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25.2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25.2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25.2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25.2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25.2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25.2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25.2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25.2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25.2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25.2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25.2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25.2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25.2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25.2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25.2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25.2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25.2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25.2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25.2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25.2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25.2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25.2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25.2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25.2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25.2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25.2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25.2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25.2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25.2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25.2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25.2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25.2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25.2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25.2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25.2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25.2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25.2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25.2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25.2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25.2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25.2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25.2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25.2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25.2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25.2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25.2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25.2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25.2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25.2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25.2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25.2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25.2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25.2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25.2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25.2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25.2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25.2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25.2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25.2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25.2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25.2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25.2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25.2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25.2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25.2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25.2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25.2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25.2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25.2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25.2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25.2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25.2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25.2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25.2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25.2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25.2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25.2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25.2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25.2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25.2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25.2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25.2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25.2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25.2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25.2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25.2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25.2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25.2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25.2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25.2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25.2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25.2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25.2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25.2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25.2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25.2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25.2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25.2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25.2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25.2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25.2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25.2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25.2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25.2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25.2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25.2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25.2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25.2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25.2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25.2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25.2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25.2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25.2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25.2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25.2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25.2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25.2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25.2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25.2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25.2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25.2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25.2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25.2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25.2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25.2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25.2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25.2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25.2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25.2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25.2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25.2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25.2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25.2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25.2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25.2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25.2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25.2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25.2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25.2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25.2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25.2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25.2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25.2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25.2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25.2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25.2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25.2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25.2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25.2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25.2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25.2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25.2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25.2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25.2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25.2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25.2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25.2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25.2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25.2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25.2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25.2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25.2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25.2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25.2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25.2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25.2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25.2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25.2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25.2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25.2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25.2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25.2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25.2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25.2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25.2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25.2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25.2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25.2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25.2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25.2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25.2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25.2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25.2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25.2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25.2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25.2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25.2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25.2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25.2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25.2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25.2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25.2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25.2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25.2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25.2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25.2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25.2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25.2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25.2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25.2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25.2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25.2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25.2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25.2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25.2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25.2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25.2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25.2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25.2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25.2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25.2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25.2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25.2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25.2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25.2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25.2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25.2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25.2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25.2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25.2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25.2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25.2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25.2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25.2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25.2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25.2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25.2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25.2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25.2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25.2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25.2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25.2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25.2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25.2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25.2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25.2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25.2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25.2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25.2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25.2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25.2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25.2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25.2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25.2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25.2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25.2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25.2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25.2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25.2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25.2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25.2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25.2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25.2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25.2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25.2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25.2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25.2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25.2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25.2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25.2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25.2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25.2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25.2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25.2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25.2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25.2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25.2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25.2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25.2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25.2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25.2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25.2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25.2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25.2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25.2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25.2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25.2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25.2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25.2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25.2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25.2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25.2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25.2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25.2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25.2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25.2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25.2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25.2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25.2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25.2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25.2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25.2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25.2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25.2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25.2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25.2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25.2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25.2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25.2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25.2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25.2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25.2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25.2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25.2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25.2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25.2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25.2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25.2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25.2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25.2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25.2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25.2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25.2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25.2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25.2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25.2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25.2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25.2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25.2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25.2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25.2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25.2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25.2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25.2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25.2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25.2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25.2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25.2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25.2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25.2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25.2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25.2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25.2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25.2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25.2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25.2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25.2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25.2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25.2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25.2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25.2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25.2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25.2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25.2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25.2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25.2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25.2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25.2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25.2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25.2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25.2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25.2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25.2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25.2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25.2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25.2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25.2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25.2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25.2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25.2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25.2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25.2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25.2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25.2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25.2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25.2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25.2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25.2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25.2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25.2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25.2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25.2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25.2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25.2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25.2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25.2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25.2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25.2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25.2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25.2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25.2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25.2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25.2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25.2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25.2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25.2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25.2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25.2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25.2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25.2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25.2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25.2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25.2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25.2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25.2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25.2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25.2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25.2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25.2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25.2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25.2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25.2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25.2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25.2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25.2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25.2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25.2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25.2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25.2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25.2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25.2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25.2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25.2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25.2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25.2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25.2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25.2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25.2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25.2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25.2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25.2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25.2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25.2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25.2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25.2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25.2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25.2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25.2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25.2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25.2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25.2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25.2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25.2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25.2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25.2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25.2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25.2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25.2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25.2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25.2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25.2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25.2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25.2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25.2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25.2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25.2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25.2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25.2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25.2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25.2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25.2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25.2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25.2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25.2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25.2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25.2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25.2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25.2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25.2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25.2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25.2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25.2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25.2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25.2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25.2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25.2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25.2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25.2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25.2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25.2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25.2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25.2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25.2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25.2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25.2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25.2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25.2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25.2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25.2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25.2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25.2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25.2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25.2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25.2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25.2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25.2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25.2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25.2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25.2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25.2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25.2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25.2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25.2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25.2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25.2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25.2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25.2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25.2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25.2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25.2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25.2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25.2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25.2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25.2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25.2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25.2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25.2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25.2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25.2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25.2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25.2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25.2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25.2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25.2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25.2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25.2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25.2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25.2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25.2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25.2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25.2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25.2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25.2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25.2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25.2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25.2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25.2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25.2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25.2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25.2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25.2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25.2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25.2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25.2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25.2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25.2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25.2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25.2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25.2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25.2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25.2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25.2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25.2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25.2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25.2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25.2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25.2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25.2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25.2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25.2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25.2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25.2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25.2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25.2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25.2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25.2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25.2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25.2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25.2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25.2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25.2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25.2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25.2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25.2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25.2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25.2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25.2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25.2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25.2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25.2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25.2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25.2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25.2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25.2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25.2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25.2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25.2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25.2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25.2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25.2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25.2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25.2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25.2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25.2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25.2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25.2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25.2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25.2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25.2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25.2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25.2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25.2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25.2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25.2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25.2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25.2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25.2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25.2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25.2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25.2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25.2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25.2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25.2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25.2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25.2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25.2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25.2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25.2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25.2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25.2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25.2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25.2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25.2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25.2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25.2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25.2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25.2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25.2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25.2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25.2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25.2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25.2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25.2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25.2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25.2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25.2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25.2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25.2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25.2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25.2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25.2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25.2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25.2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25.2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25.2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25.2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25.2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25.2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25.2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25.2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25.2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25.2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25.2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25.2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25.2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25.2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25.2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25.2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25.2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25.2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25.2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25.2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25.2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25.2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25.2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25.2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25.2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25.2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25.2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25.2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25.2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25.2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25.2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25.2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25.2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25.2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25.2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25.2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25.2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25.2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25.2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25.2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25.2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25.2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25.2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25.2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25.2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25.2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25.2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25.2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25.2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25.2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25.2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25.2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25.2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25.2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25.2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25.2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25.2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25.2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25.2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25.2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25.2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25.2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25.2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25.2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25.2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25.2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25.2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25.2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25.2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25.2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25.2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25.2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25.2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25.2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25.2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25.2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25.2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25.2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25.2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25.2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25.2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25.2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25.2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25.2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25.2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25.2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25.2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25.2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25.2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25.2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25.2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25.2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25.2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25.2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25.2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25.2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25.2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25.2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25.2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25.2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25.2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25.2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25.2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25.2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25.2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25.2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25.2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25.2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25.2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25.2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25.2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25.2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25.2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25.2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25.2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25.2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25.2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25.2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25.2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25.2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25.2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25.2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25.2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25.2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25.2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25.2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25.2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25.2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25.2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25.2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25.2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25.2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25.2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25.2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25.2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25.2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25.2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25.2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25.2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25.2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25.2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25.2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25.2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25.2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25.2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25.2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25.2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25.2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25.2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25.2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25.2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25.2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25.2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25.2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25.2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25.2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25.2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25.2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25.2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25.2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25.2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25.2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25.2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25.2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25.2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25.2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25.2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25.2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ht="25.2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ht="25.2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ht="25.2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ht="25.2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ht="25.2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</sheetData>
  <mergeCells count="7">
    <mergeCell ref="I38:J38"/>
    <mergeCell ref="A1:G1"/>
    <mergeCell ref="A2:B2"/>
    <mergeCell ref="E2:F2"/>
    <mergeCell ref="I2:J2"/>
    <mergeCell ref="I14:J14"/>
    <mergeCell ref="I26:J26"/>
  </mergeCells>
  <pageMargins left="0.7" right="0.7" top="0.75" bottom="0.75" header="0.3" footer="0.3"/>
  <pageSetup scale="4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IC Courses</vt:lpstr>
      <vt:lpstr>Without Specialization</vt:lpstr>
      <vt:lpstr>Mechatronics</vt:lpstr>
      <vt:lpstr>Communication Tech</vt:lpstr>
      <vt:lpstr>AI &amp; Robotics</vt:lpstr>
      <vt:lpstr>FinTech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Gajendra Singh</cp:lastModifiedBy>
  <cp:lastPrinted>2025-07-10T06:26:11Z</cp:lastPrinted>
  <dcterms:created xsi:type="dcterms:W3CDTF">2025-05-02T09:45:11Z</dcterms:created>
  <dcterms:modified xsi:type="dcterms:W3CDTF">2025-12-29T07:20:13Z</dcterms:modified>
</cp:coreProperties>
</file>